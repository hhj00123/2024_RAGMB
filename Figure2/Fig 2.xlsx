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hhj\Desktop\pubpeer\20260606提交\数据\FIG 2\"/>
    </mc:Choice>
  </mc:AlternateContent>
  <xr:revisionPtr revIDLastSave="0" documentId="13_ncr:1_{AC1891D8-5F7B-432F-8D51-84E87BA80D96}" xr6:coauthVersionLast="47" xr6:coauthVersionMax="47" xr10:uidLastSave="{00000000-0000-0000-0000-000000000000}"/>
  <bookViews>
    <workbookView xWindow="-28920" yWindow="1755" windowWidth="29040" windowHeight="15720" activeTab="2" xr2:uid="{00000000-000D-0000-FFFF-FFFF00000000}"/>
  </bookViews>
  <sheets>
    <sheet name="2 A" sheetId="3" r:id="rId1"/>
    <sheet name="2A-1" sheetId="5" r:id="rId2"/>
    <sheet name="2B-1" sheetId="6" r:id="rId3"/>
    <sheet name="2C-1" sheetId="1" r:id="rId4"/>
    <sheet name="2B-2 2C-2" sheetId="2" r:id="rId5"/>
  </sheets>
  <definedNames>
    <definedName name="_xlnm._FilterDatabase" localSheetId="0" hidden="1">'2 A'!$A$1:$V$59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/>
  <c r="V44" i="3"/>
  <c r="V39" i="3"/>
  <c r="V58" i="3"/>
  <c r="V36" i="3"/>
  <c r="V42" i="3"/>
  <c r="V49" i="3"/>
  <c r="V9" i="3"/>
  <c r="V17" i="3"/>
  <c r="V6" i="3"/>
  <c r="V52" i="3"/>
  <c r="V21" i="3"/>
  <c r="V23" i="3"/>
  <c r="V46" i="3"/>
  <c r="V5" i="3"/>
  <c r="V14" i="3"/>
  <c r="V18" i="3"/>
  <c r="V47" i="3"/>
  <c r="V57" i="3"/>
  <c r="V56" i="3"/>
  <c r="V50" i="3"/>
  <c r="V26" i="3"/>
  <c r="V25" i="3"/>
  <c r="V33" i="3"/>
  <c r="V11" i="3"/>
  <c r="V45" i="3"/>
  <c r="V51" i="3"/>
  <c r="V12" i="3"/>
  <c r="V40" i="3"/>
  <c r="V34" i="3"/>
  <c r="V7" i="3"/>
  <c r="V2" i="3"/>
  <c r="V13" i="3"/>
  <c r="V30" i="3"/>
  <c r="V4" i="3"/>
  <c r="V22" i="3"/>
  <c r="V8" i="3"/>
  <c r="V24" i="3"/>
  <c r="V27" i="3"/>
  <c r="V16" i="3"/>
  <c r="V37" i="3"/>
  <c r="V53" i="3"/>
  <c r="V41" i="3"/>
  <c r="V35" i="3"/>
  <c r="V54" i="3"/>
  <c r="V59" i="3"/>
  <c r="V38" i="3"/>
  <c r="V20" i="3"/>
  <c r="V28" i="3"/>
  <c r="V55" i="3"/>
  <c r="V10" i="3"/>
  <c r="V31" i="3"/>
  <c r="V43" i="3"/>
  <c r="V29" i="3"/>
  <c r="V32" i="3"/>
  <c r="V48" i="3"/>
  <c r="V15" i="3"/>
  <c r="V19" i="3"/>
  <c r="V74" i="1"/>
  <c r="W74" i="1" s="1"/>
  <c r="V73" i="1"/>
  <c r="W73" i="1" s="1"/>
  <c r="V72" i="1"/>
  <c r="W72" i="1" s="1"/>
  <c r="V71" i="1"/>
  <c r="W71" i="1" s="1"/>
  <c r="V70" i="1"/>
  <c r="W70" i="1" s="1"/>
  <c r="V69" i="1"/>
  <c r="W69" i="1" s="1"/>
  <c r="V68" i="1"/>
  <c r="W68" i="1" s="1"/>
  <c r="V67" i="1"/>
  <c r="W67" i="1" s="1"/>
  <c r="V66" i="1"/>
  <c r="W66" i="1" s="1"/>
  <c r="V65" i="1"/>
  <c r="W65" i="1" s="1"/>
  <c r="V64" i="1"/>
  <c r="W64" i="1" s="1"/>
  <c r="V63" i="1"/>
  <c r="W63" i="1" s="1"/>
  <c r="V62" i="1"/>
  <c r="W62" i="1" s="1"/>
  <c r="V61" i="1"/>
  <c r="W61" i="1" s="1"/>
  <c r="V60" i="1"/>
  <c r="W60" i="1" s="1"/>
  <c r="V59" i="1"/>
  <c r="W59" i="1" s="1"/>
  <c r="V58" i="1"/>
  <c r="W58" i="1" s="1"/>
  <c r="V57" i="1"/>
  <c r="W57" i="1" s="1"/>
  <c r="V56" i="1"/>
  <c r="W56" i="1" s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V5" i="1"/>
  <c r="W5" i="1" s="1"/>
  <c r="V4" i="1"/>
  <c r="W4" i="1" s="1"/>
  <c r="V3" i="1"/>
  <c r="W3" i="1" s="1"/>
  <c r="V2" i="1"/>
  <c r="W2" i="1" s="1"/>
</calcChain>
</file>

<file path=xl/sharedStrings.xml><?xml version="1.0" encoding="utf-8"?>
<sst xmlns="http://schemas.openxmlformats.org/spreadsheetml/2006/main" count="1577" uniqueCount="627">
  <si>
    <t>clade_name</t>
  </si>
  <si>
    <t>RA1_profiled_metagenome</t>
  </si>
  <si>
    <t>RA2_profiled_metagenome</t>
  </si>
  <si>
    <t>RA3_profiled_metagenome</t>
  </si>
  <si>
    <t>RA4_profiled_metagenome</t>
  </si>
  <si>
    <t>RA5_profiled_metagenome</t>
  </si>
  <si>
    <t>RA6_profiled_metagenome</t>
  </si>
  <si>
    <t>RA7_profiled_metagenome</t>
  </si>
  <si>
    <t>RA8_profiled_metagenome</t>
  </si>
  <si>
    <t>RA9_profiled_metagenome</t>
  </si>
  <si>
    <t>RA10_profiled_metagenome</t>
  </si>
  <si>
    <t>RA11_profiled_metagenome</t>
  </si>
  <si>
    <t>RA12_profiled_metagenome</t>
  </si>
  <si>
    <t>RA13_profiled_metagenome</t>
  </si>
  <si>
    <t>RA14_profiled_metagenome</t>
  </si>
  <si>
    <t>RA15_profiled_metagenome</t>
  </si>
  <si>
    <t>RA16_profiled_metagenome</t>
  </si>
  <si>
    <t>RA17_profiled_metagenome</t>
  </si>
  <si>
    <t>RA18_profiled_metagenome</t>
  </si>
  <si>
    <t>RA19_profiled_metagenome</t>
  </si>
  <si>
    <t>RA20_profiled_metagenome</t>
  </si>
  <si>
    <t>ALL</t>
    <phoneticPr fontId="1" type="noConversion"/>
  </si>
  <si>
    <t>AVA</t>
    <phoneticPr fontId="1" type="noConversion"/>
  </si>
  <si>
    <t>Bifidobacterium_adolescentis</t>
  </si>
  <si>
    <t>Prevotella_copri</t>
  </si>
  <si>
    <t>Faecalibacterium_prausnitzii</t>
  </si>
  <si>
    <t>Bifidobacterium_longum</t>
  </si>
  <si>
    <t>Collinsella_aerofaciens</t>
  </si>
  <si>
    <t>Ruminococcus_bromii</t>
  </si>
  <si>
    <t>Eubacterium_rectale</t>
  </si>
  <si>
    <t>Ruminococcus_torques</t>
  </si>
  <si>
    <t>Bifidobacterium_bifidum</t>
  </si>
  <si>
    <t>Bacteroides_vulgatus</t>
  </si>
  <si>
    <t>Streptococcus_salivarius</t>
  </si>
  <si>
    <t>Eubacterium_hallii</t>
  </si>
  <si>
    <t>Alistipes_putredinis</t>
  </si>
  <si>
    <t>Bacteroides_uniformis</t>
  </si>
  <si>
    <t>Bifidobacterium_pseudocatenulatum</t>
  </si>
  <si>
    <t>Akkermansia_muciniphila</t>
  </si>
  <si>
    <t>Subdoligranulum_sp</t>
  </si>
  <si>
    <t>Blautia_obeum</t>
  </si>
  <si>
    <t>HA0030</t>
  </si>
  <si>
    <t>Bacteroides_coprocola</t>
  </si>
  <si>
    <t>Bacteroides_plebeius</t>
  </si>
  <si>
    <t>Fusicatenibacter_saccharivorans</t>
  </si>
  <si>
    <t>Anaerostipes_hadrus</t>
  </si>
  <si>
    <t>Klebsiella_pneumoniae</t>
  </si>
  <si>
    <t>Klebsiella_variicola</t>
  </si>
  <si>
    <t>Dorea_longicatena</t>
  </si>
  <si>
    <t>HA1201</t>
  </si>
  <si>
    <t>Dialister_sp_CAG_357</t>
  </si>
  <si>
    <t>Faecalibacterium_sp_CAG_74</t>
  </si>
  <si>
    <t>Clostridium_sp_CAG_217</t>
  </si>
  <si>
    <t>Roseburia_inulinivorans</t>
  </si>
  <si>
    <t>Bacteroides_stercoris</t>
  </si>
  <si>
    <t>HA0073</t>
  </si>
  <si>
    <t>Ruminococcus_lactaris</t>
  </si>
  <si>
    <t>Coprococcus_comes</t>
  </si>
  <si>
    <t>Dorea_formicigenerans</t>
  </si>
  <si>
    <t>Coprococcus_catus</t>
  </si>
  <si>
    <t>HA0435</t>
  </si>
  <si>
    <t>HA0016</t>
  </si>
  <si>
    <t>Eubacterium_eligens</t>
  </si>
  <si>
    <t>HA0567</t>
  </si>
  <si>
    <t>Roseburia_faecis</t>
  </si>
  <si>
    <t>Escherichia_coli</t>
  </si>
  <si>
    <t>Eubacterium_sp_CAG_180</t>
  </si>
  <si>
    <t>Roseburia_hominis</t>
  </si>
  <si>
    <t>HA1512</t>
  </si>
  <si>
    <t>HA0067</t>
  </si>
  <si>
    <t>Ruminococcus_sp_CAG_177</t>
  </si>
  <si>
    <t>Lachnospira_pectinoschiza</t>
  </si>
  <si>
    <t>Oscillibacter_sp_CAG_241</t>
  </si>
  <si>
    <t>HA1243</t>
  </si>
  <si>
    <t>Eubacterium_ramulus</t>
  </si>
  <si>
    <t>Parabacteroides_distasonis</t>
  </si>
  <si>
    <t>Gemmiger_formicilis</t>
  </si>
  <si>
    <t>Barnesiella_intestinihominis</t>
  </si>
  <si>
    <t>Bacteroides_caccae</t>
  </si>
  <si>
    <t>Blautia_sp_CAG_52</t>
  </si>
  <si>
    <t>HA0643</t>
  </si>
  <si>
    <t>Prevotella_sp_CAG_279</t>
  </si>
  <si>
    <t>Coprococcus_eutactus</t>
  </si>
  <si>
    <t>Eggerthella_lenta</t>
  </si>
  <si>
    <t>Blautia_sp</t>
  </si>
  <si>
    <t>Odoribacter_splanchnicus</t>
  </si>
  <si>
    <t>Alistipes_finegoldii</t>
  </si>
  <si>
    <t>Parasutterella_excrementihominis</t>
  </si>
  <si>
    <t>Ruminococcaceae_bacterium_KLE1738</t>
  </si>
  <si>
    <t>Clostridium_sp_CAG_138</t>
  </si>
  <si>
    <t>HA0437</t>
  </si>
  <si>
    <t>Eubacterium_sp_CAG_115</t>
  </si>
  <si>
    <t>Bacteroides_massiliensis</t>
  </si>
  <si>
    <t>Streptococcus_parasanguinis</t>
  </si>
  <si>
    <t>Eubacterium_sp_CAG_38</t>
  </si>
  <si>
    <t>Bifidobacterium adolescentis</t>
  </si>
  <si>
    <t>Blautia difficilis</t>
  </si>
  <si>
    <t>Prevotella copri</t>
  </si>
  <si>
    <t>Bacteroides vulgatus</t>
  </si>
  <si>
    <t>Faecalibacterium prausnitzii</t>
  </si>
  <si>
    <t>Bifidobacterium longum</t>
  </si>
  <si>
    <t>Streptococcus koreensis</t>
  </si>
  <si>
    <t>Collinsella aerofaciens</t>
  </si>
  <si>
    <t>Parabacteroides distasonis</t>
  </si>
  <si>
    <t>Eggerthella lenta</t>
  </si>
  <si>
    <t>Bacteroides caccae</t>
  </si>
  <si>
    <t>Bifidobacterium bifidum</t>
  </si>
  <si>
    <t>Bacteroides thetaiotaomicron</t>
  </si>
  <si>
    <t>Streptococcus salivarius</t>
  </si>
  <si>
    <t>Hominisplanchenecus faecis</t>
  </si>
  <si>
    <t>Alistipes putredinis</t>
  </si>
  <si>
    <t>Fournierella sp.</t>
  </si>
  <si>
    <t>Bacteroides uniformis</t>
  </si>
  <si>
    <t>Bifidobacterium pseudocatenulatum</t>
  </si>
  <si>
    <t>Akkermansia muciniphila</t>
  </si>
  <si>
    <t>Subdoligranulum sp</t>
  </si>
  <si>
    <t>Blautia obeum</t>
  </si>
  <si>
    <t>Bacteroides cellulosilyticus</t>
  </si>
  <si>
    <t>Bacteroides coprocola</t>
  </si>
  <si>
    <t>Bacteroides plebeius</t>
  </si>
  <si>
    <t>Anaerostipes hadrus</t>
  </si>
  <si>
    <t>Fusicatenibacter saccharivorans</t>
  </si>
  <si>
    <t>Odoribacter splanchnicus</t>
  </si>
  <si>
    <t>Klebsiella pneumoniae</t>
  </si>
  <si>
    <t>Klebsiella variicola</t>
  </si>
  <si>
    <t>Enterobacter ludwigii</t>
  </si>
  <si>
    <t>Dialister sp CAG 357</t>
  </si>
  <si>
    <t>Parabacteroides timonensis</t>
  </si>
  <si>
    <t>Faecalibacterium sp CAG 74</t>
  </si>
  <si>
    <t>Bacteroides xylanisolvens</t>
  </si>
  <si>
    <t>Clostridium sp CAG 217</t>
  </si>
  <si>
    <t>Roseburia inulinivorans</t>
  </si>
  <si>
    <t>Bacteroides stercoris</t>
  </si>
  <si>
    <t>Bacteroides koreensis</t>
  </si>
  <si>
    <t>Coprococcus comes</t>
  </si>
  <si>
    <t>Dorea formicigenerans</t>
    <phoneticPr fontId="1" type="noConversion"/>
  </si>
  <si>
    <t>Bacteroides zhangwenhongii</t>
  </si>
  <si>
    <t>Eubacterium eligens</t>
  </si>
  <si>
    <t>Roseburia faecis</t>
  </si>
  <si>
    <t>Blautia luti</t>
  </si>
  <si>
    <t>Eubacterium sp CAG 180</t>
  </si>
  <si>
    <t>Blautia stercoris</t>
  </si>
  <si>
    <t>Roseburia hominis</t>
  </si>
  <si>
    <t>Eubacterium ventriosum</t>
  </si>
  <si>
    <t>Limosilactobacillus fermentum</t>
  </si>
  <si>
    <t>Bacteroides humanifaecis</t>
  </si>
  <si>
    <t>Faecalibacillus intestinalis</t>
  </si>
  <si>
    <t>Oscillibacter sp CAG 241</t>
  </si>
  <si>
    <t>Blautia intestinalis</t>
  </si>
  <si>
    <t>Faecalibacillus faecis</t>
  </si>
  <si>
    <t>Gemmiger formicilis</t>
  </si>
  <si>
    <t>Bacteroides celeris</t>
  </si>
  <si>
    <t>Barnesiella intestinihominis</t>
  </si>
  <si>
    <t>Ruminococcus albus</t>
  </si>
  <si>
    <t>Blautia sp CAG 52</t>
  </si>
  <si>
    <t>Hominisplanchenecus sp.</t>
  </si>
  <si>
    <t>Prevotella sp CAG 279</t>
  </si>
  <si>
    <t>Streptococcus gordonii</t>
  </si>
  <si>
    <t>Coprococcus eutactus</t>
  </si>
  <si>
    <t>Streptococcus vaginalis</t>
  </si>
  <si>
    <t>Blautia sp</t>
  </si>
  <si>
    <t>Shigella sonnei</t>
  </si>
  <si>
    <t>Alistipes finegoldii</t>
  </si>
  <si>
    <t>Parasutterella excrementihominis</t>
  </si>
  <si>
    <t>Staphylococcus capitis</t>
  </si>
  <si>
    <t>Ruminococcaceae bacterium KLE1738</t>
  </si>
  <si>
    <t>Escherichia fergusonii</t>
  </si>
  <si>
    <t>Clostridium sp CAG 138</t>
  </si>
  <si>
    <t>Corynebacterium casei</t>
  </si>
  <si>
    <t>Kocuria atrinae</t>
  </si>
  <si>
    <t>Eubacterium sp CAG 115</t>
  </si>
  <si>
    <t>Jeotgalicoccus schoeneichii</t>
  </si>
  <si>
    <t>Bacteroides massiliensis</t>
  </si>
  <si>
    <t>Streptococcus parasanguinis</t>
  </si>
  <si>
    <t>Eubacterium sp CAG 38</t>
  </si>
  <si>
    <t>Olsenella profusa</t>
  </si>
  <si>
    <t>Enorma massiliensis</t>
  </si>
  <si>
    <t>Raoultibacter timonensis</t>
  </si>
  <si>
    <t>Eggerthella sinensis</t>
  </si>
  <si>
    <t>Bacteroides multiformis</t>
  </si>
  <si>
    <t>Bacteroides eggerthii</t>
  </si>
  <si>
    <t>Bacteroides hominis</t>
  </si>
  <si>
    <t>Bacteroides intestinalis</t>
  </si>
  <si>
    <t>Bacteroides ovatus</t>
  </si>
  <si>
    <t>Bacteroides dorei</t>
  </si>
  <si>
    <t>Butyricimonas faecihominis</t>
  </si>
  <si>
    <t>Butyricimonas hominis</t>
  </si>
  <si>
    <t>Gabonibacter massiliensis</t>
  </si>
  <si>
    <t>Parabacteroides goldsteinii</t>
  </si>
  <si>
    <t>Parabacteroides merdae</t>
  </si>
  <si>
    <t>Alistipes shahii</t>
  </si>
  <si>
    <t>Alistipes hominis</t>
  </si>
  <si>
    <t>Alistipes onderdonkii</t>
  </si>
  <si>
    <t>Desulfovibrio piger</t>
  </si>
  <si>
    <t>Enterococcus faecium</t>
  </si>
  <si>
    <t>Enterococcus faecalis</t>
  </si>
  <si>
    <t>Enterococcus gallinarum</t>
  </si>
  <si>
    <t>Enterococcus thailandicus</t>
  </si>
  <si>
    <t>Lacticaseibacillus rhamnosus</t>
  </si>
  <si>
    <t>Lacticaseibacillus paracasei</t>
  </si>
  <si>
    <t>Lactiplantibacillus pentosus</t>
  </si>
  <si>
    <t>Streptococcus lutetiensis</t>
  </si>
  <si>
    <t>Streptococcus rubneri</t>
  </si>
  <si>
    <t>Clostridium paraputrificum</t>
  </si>
  <si>
    <t>Clostridium tertium</t>
  </si>
  <si>
    <t>Clostridium sporogenes</t>
  </si>
  <si>
    <t>Pseudoramibacter alactolyticus</t>
  </si>
  <si>
    <t>Eubacterium rectale</t>
  </si>
  <si>
    <t>Anaerotignum faecicola</t>
  </si>
  <si>
    <t>Wujia chipingensis</t>
  </si>
  <si>
    <t>Ruminococcus faecis</t>
  </si>
  <si>
    <t>Agathobaculum butyriciproducens</t>
  </si>
  <si>
    <t>Anaerotruncus colihominis</t>
  </si>
  <si>
    <t>Dysosmobacter welbionis</t>
  </si>
  <si>
    <t>Dysosmobacter segnis</t>
  </si>
  <si>
    <t>Hydrogeniiclostridium mannosilyticum</t>
  </si>
  <si>
    <t>Pusillibacter faecalis</t>
  </si>
  <si>
    <t>Flavonifractor plautii</t>
  </si>
  <si>
    <t>Flintibacter faecis</t>
  </si>
  <si>
    <t>Paeniclostridium hominis</t>
  </si>
  <si>
    <t>Paraclostridium benzoelyticum</t>
  </si>
  <si>
    <t>Catenibacterium faecis</t>
  </si>
  <si>
    <t>Coprobacillus cateniformis</t>
  </si>
  <si>
    <t xml:space="preserve"> Clostridium innocuum</t>
  </si>
  <si>
    <t>Holdemanella porci</t>
  </si>
  <si>
    <t>Turicibacter sanguinis</t>
  </si>
  <si>
    <t>Dialister succinatiphilus</t>
  </si>
  <si>
    <t>Megasphaera indica</t>
  </si>
  <si>
    <t>Veillonella parvula</t>
  </si>
  <si>
    <t>Fenollaria massiliensis</t>
  </si>
  <si>
    <t>Fusobacterium nucleatum</t>
  </si>
  <si>
    <t>Mesosutterella multiformis</t>
  </si>
  <si>
    <t>Sutterella wadsworthensis</t>
  </si>
  <si>
    <t>Citrobacter arsenatis</t>
  </si>
  <si>
    <t>Escherichia marmotae</t>
  </si>
  <si>
    <t>Bifidobacterium faecale</t>
  </si>
  <si>
    <t>Hungatella hathewayi</t>
  </si>
  <si>
    <t>Paraclostridium dentum</t>
  </si>
  <si>
    <t>Gordonibacter pamelaeae</t>
  </si>
  <si>
    <t xml:space="preserve"> Eubacterium tenue</t>
  </si>
  <si>
    <t>Clostridium saudiense</t>
  </si>
  <si>
    <t>Parabacteroides hominis</t>
  </si>
  <si>
    <t>Bacteroides nordii</t>
  </si>
  <si>
    <t>Lachnoclostridium pacaense</t>
  </si>
  <si>
    <t>Asaccharobacter celatus</t>
  </si>
  <si>
    <t>Desulfovibrio legallii</t>
  </si>
  <si>
    <t>Senegalimassilia anaerobia</t>
  </si>
  <si>
    <t>Adlercreutzia equolifaciens</t>
  </si>
  <si>
    <t>Eubacterium qingdaonensis</t>
  </si>
  <si>
    <t>Blautia ovatus</t>
  </si>
  <si>
    <t>Corynebacterium dentalis</t>
  </si>
  <si>
    <t>Lactonifactor qingdaonensis</t>
  </si>
  <si>
    <t>Neglectibacter sp.</t>
  </si>
  <si>
    <t>Klebsiella aerogenes</t>
  </si>
  <si>
    <t>Micrococcus yunnanensis</t>
  </si>
  <si>
    <t>Microbacterium esteraromaticum</t>
  </si>
  <si>
    <t>Harryflintia acetispora</t>
  </si>
  <si>
    <t xml:space="preserve"> Clostridium scindens</t>
  </si>
  <si>
    <t>Mogibacterium pumilum</t>
  </si>
  <si>
    <t>Bifidobacterium dentium</t>
  </si>
  <si>
    <t>Clostridium perfringens</t>
  </si>
  <si>
    <t>Staphylococcus epidermidis</t>
  </si>
  <si>
    <t>Mogibacterium timidum</t>
  </si>
  <si>
    <t>Bacteroides coprophilus</t>
  </si>
  <si>
    <t>Bacillus licheniformis</t>
  </si>
  <si>
    <t>Oscillibacter massiliensis</t>
  </si>
  <si>
    <t>Coprococcus qingdaonensis</t>
  </si>
  <si>
    <t>Butyricimonas virosa</t>
  </si>
  <si>
    <t>Bacteroides salyersiae</t>
  </si>
  <si>
    <t>Enterococcus mediterraneensis</t>
  </si>
  <si>
    <t>Peptoniphilus obesi</t>
  </si>
  <si>
    <t>Bilophila wadsworthia</t>
  </si>
  <si>
    <t>Veillonella nakazawae</t>
  </si>
  <si>
    <t>Vescimonas qingdaonensis</t>
  </si>
  <si>
    <t>Angelakisella massiliensis</t>
  </si>
  <si>
    <t>Veillonella atypica</t>
  </si>
  <si>
    <t>Streptococcus sobrinus</t>
  </si>
  <si>
    <t>Dorea longicatena</t>
  </si>
  <si>
    <t>Bacteroides fragilis</t>
  </si>
  <si>
    <t>Eisenbergiella tayi</t>
  </si>
  <si>
    <t>Slackia exigua</t>
  </si>
  <si>
    <t>Dorea hominis</t>
  </si>
  <si>
    <t>Cryptobacterium curtum</t>
  </si>
  <si>
    <t>Lancefieldella parvula</t>
  </si>
  <si>
    <t>Bacillus paramycoides</t>
  </si>
  <si>
    <t>Lachnoclostridium edouardi</t>
  </si>
  <si>
    <t>Enterocloster bolteae</t>
  </si>
  <si>
    <t>Enterocloster citroniae</t>
  </si>
  <si>
    <t>Eubacterium limosum</t>
  </si>
  <si>
    <t>Lentihominibacter sp.</t>
  </si>
  <si>
    <t>Diplocloster modestus</t>
  </si>
  <si>
    <t xml:space="preserve"> Clostridium symbiosum</t>
  </si>
  <si>
    <t>Ruthenibacterium lactatiformans</t>
  </si>
  <si>
    <t>Intestinimonas butyriciproducens</t>
  </si>
  <si>
    <t>Parvimonas micra</t>
  </si>
  <si>
    <t>Lachnoclostridium urinimassiliense</t>
  </si>
  <si>
    <t>Parabacteroides faecis</t>
  </si>
  <si>
    <t>Senegalimassilia qingdaonensis</t>
  </si>
  <si>
    <t>Faecalicatena orotica</t>
  </si>
  <si>
    <t>Weissella cibaria</t>
  </si>
  <si>
    <t>Staphylococcus hominis</t>
  </si>
  <si>
    <t xml:space="preserve"> Eubacterium rectale</t>
  </si>
  <si>
    <t>Lacrimispora sp.</t>
  </si>
  <si>
    <t>Coprobacter secundus</t>
  </si>
  <si>
    <t>Moraxella osloensis</t>
  </si>
  <si>
    <t>Lactococcus garvieae</t>
  </si>
  <si>
    <t>Microbacterium paraoxydans</t>
  </si>
  <si>
    <t>Enterococcus hirae</t>
  </si>
  <si>
    <t>Parabacteroides johnsonii</t>
  </si>
  <si>
    <t>Vescimonas butyrica</t>
  </si>
  <si>
    <t>Streptococcus anginosus</t>
  </si>
  <si>
    <t>Blautia coccoides</t>
  </si>
  <si>
    <t>Slackia piriformis</t>
  </si>
  <si>
    <t>Bacteroides finegoldii</t>
  </si>
  <si>
    <t>Phascolarctobacterium faecium</t>
  </si>
  <si>
    <t>Varibaculum qingdaonensis</t>
  </si>
  <si>
    <t>Butyricimonas aceticus</t>
  </si>
  <si>
    <t>Luoshenia tenuis</t>
  </si>
  <si>
    <t>Ligilactobacillus salivarius</t>
  </si>
  <si>
    <t>Bacteroides clarus</t>
  </si>
  <si>
    <t>Cloacibacillus porcorum</t>
  </si>
  <si>
    <t>Butyricimonas vaginalis</t>
  </si>
  <si>
    <t>Alistipes indistinctus</t>
  </si>
  <si>
    <t>Blautia wexlerae</t>
  </si>
  <si>
    <t>Peptoniphilus tyrrelliae</t>
  </si>
  <si>
    <t>Peptoniphilus qingdaonensis</t>
  </si>
  <si>
    <t>Waltera qingdaonensis</t>
  </si>
  <si>
    <t>Pseudoflavonifractor sp.</t>
  </si>
  <si>
    <t>Blautia flagellatus</t>
  </si>
  <si>
    <t>Neglectibacter timonensis</t>
  </si>
  <si>
    <t>Intestinimonas sp.</t>
  </si>
  <si>
    <t>Enterocloster hominis</t>
  </si>
  <si>
    <t xml:space="preserve"> Eubacterium eligens</t>
  </si>
  <si>
    <t>Hungatella effluvii</t>
  </si>
  <si>
    <t>Phocea massiliensis</t>
  </si>
  <si>
    <t>Pediococcus pentosaceus</t>
  </si>
  <si>
    <t>Drancourtella massiliensis</t>
  </si>
  <si>
    <t>Eisenbergiella massiliensis</t>
  </si>
  <si>
    <t>Clostridium symbiosum</t>
  </si>
  <si>
    <t>Coprobacter fastidiosus</t>
  </si>
  <si>
    <t>Holdemania filiformis</t>
  </si>
  <si>
    <t>Blautia hydrogenotrophica</t>
  </si>
  <si>
    <t>Waltera intestinalis</t>
  </si>
  <si>
    <t>Cutibacterium acnes</t>
  </si>
  <si>
    <t>Anaeroglobus geminatus</t>
  </si>
  <si>
    <t>Eubacterium callanderi</t>
  </si>
  <si>
    <t>Levyella massiliensis</t>
  </si>
  <si>
    <t>Bifidobacterium animalis</t>
  </si>
  <si>
    <t>Pyramidobacter piscolens</t>
  </si>
  <si>
    <t>Prevotella oralis</t>
  </si>
  <si>
    <t>Blautia producta</t>
  </si>
  <si>
    <t>Peptoniphilus lacrimalis</t>
  </si>
  <si>
    <t>Staphylococcus xylosus</t>
  </si>
  <si>
    <t>Staphylococcus saprophyticus</t>
  </si>
  <si>
    <t>Limosilactobacillus mucosae</t>
  </si>
  <si>
    <t>Christensenella massiliensis</t>
  </si>
  <si>
    <t>Methanobacteriaceae</t>
  </si>
  <si>
    <t>Bifidobacteriaceae</t>
  </si>
  <si>
    <t>Corynebacteriaceae</t>
  </si>
  <si>
    <t>Corynebacteriales_unclassified</t>
  </si>
  <si>
    <t>Dermabacteraceae</t>
  </si>
  <si>
    <t>Micrococcaceae</t>
  </si>
  <si>
    <t>Propionibacteriaceae</t>
  </si>
  <si>
    <t>Atopobiaceae</t>
  </si>
  <si>
    <t>Coriobacteriaceae</t>
  </si>
  <si>
    <t>Eggerthellaceae</t>
  </si>
  <si>
    <t>Bacteroidaceae</t>
  </si>
  <si>
    <t>Bacteroidales_unclassified</t>
  </si>
  <si>
    <t>Barnesiellaceae</t>
  </si>
  <si>
    <t>Odoribacteraceae</t>
  </si>
  <si>
    <t>Porphyromonadaceae</t>
  </si>
  <si>
    <t>Prevotellaceae</t>
  </si>
  <si>
    <t>Rikenellaceae</t>
  </si>
  <si>
    <t>Tannerellaceae</t>
  </si>
  <si>
    <t>Candidatus_Gastranaerophilales_unclassified</t>
  </si>
  <si>
    <t>Anaerolineaceae</t>
  </si>
  <si>
    <t>Bacillales_unclassified</t>
  </si>
  <si>
    <t>Staphylococcaceae</t>
  </si>
  <si>
    <t>Enterococcaceae</t>
  </si>
  <si>
    <t>Lactobacillaceae</t>
  </si>
  <si>
    <t>Leuconostocaceae</t>
  </si>
  <si>
    <t>Streptococcaceae</t>
  </si>
  <si>
    <t>Catabacteriaceae</t>
  </si>
  <si>
    <t>Christensenellaceae</t>
  </si>
  <si>
    <t>Clostridiaceae</t>
  </si>
  <si>
    <t>Clostridiales_Family_XIII_Incertae_Sedis</t>
  </si>
  <si>
    <t>Clostridiales_unclassified</t>
  </si>
  <si>
    <t>Eubacteriaceae</t>
  </si>
  <si>
    <t>Lachnospiraceae</t>
  </si>
  <si>
    <t>Oscillospiraceae</t>
  </si>
  <si>
    <t>Peptostreptococcaceae</t>
  </si>
  <si>
    <t>Ruminococcaceae</t>
  </si>
  <si>
    <t>Erysipelotrichaceae</t>
  </si>
  <si>
    <t>Firmicutes_unclassified</t>
  </si>
  <si>
    <t>Acidaminococcaceae</t>
  </si>
  <si>
    <t>Selenomonadaceae</t>
  </si>
  <si>
    <t>Veillonellaceae</t>
  </si>
  <si>
    <t>Peptoniphilaceae</t>
  </si>
  <si>
    <t>Tissierellia_unclassified</t>
  </si>
  <si>
    <t>Lentisphaerae_unclassified</t>
  </si>
  <si>
    <t>Victivallaceae</t>
  </si>
  <si>
    <t>Victivallales_unclassified</t>
  </si>
  <si>
    <t>Rhodospirillaceae</t>
  </si>
  <si>
    <t>Oxalobacteraceae</t>
  </si>
  <si>
    <t>Sutterellaceae</t>
  </si>
  <si>
    <t>Desulfovibrionaceae</t>
  </si>
  <si>
    <t>Campylobacteraceae</t>
  </si>
  <si>
    <t>Enterobacteriaceae</t>
  </si>
  <si>
    <t>Pasteurellaceae</t>
  </si>
  <si>
    <t>Pseudomonadaceae</t>
  </si>
  <si>
    <t>Proteobacteria_unclassified</t>
  </si>
  <si>
    <t>Synergistaceae</t>
  </si>
  <si>
    <t>Mycoplasmataceae</t>
  </si>
  <si>
    <t>Akkermansiaceae</t>
  </si>
  <si>
    <t>Bifidobacterium</t>
  </si>
  <si>
    <t>Corynebacterium</t>
  </si>
  <si>
    <t>Kocuria</t>
  </si>
  <si>
    <t>Cutibacterium</t>
  </si>
  <si>
    <t>Olsenella</t>
  </si>
  <si>
    <t>Collinsella</t>
  </si>
  <si>
    <t>Enorma</t>
  </si>
  <si>
    <t>Adlercreutzia</t>
  </si>
  <si>
    <t>Asaccharobacter</t>
  </si>
  <si>
    <t>Cryptobacterium</t>
  </si>
  <si>
    <t>Eggerthella</t>
  </si>
  <si>
    <t>Gordonibacter</t>
  </si>
  <si>
    <t>Senegalimassilia</t>
  </si>
  <si>
    <t>Slackia</t>
  </si>
  <si>
    <t>Bacteroides</t>
  </si>
  <si>
    <t>Barnesiella</t>
  </si>
  <si>
    <t>Coprobacter</t>
  </si>
  <si>
    <t>Butyricimonas</t>
  </si>
  <si>
    <t>Odoribacter</t>
  </si>
  <si>
    <t>Prevotella</t>
  </si>
  <si>
    <t>Alistipes</t>
  </si>
  <si>
    <t>Parabacteroides</t>
  </si>
  <si>
    <t>Staphylococcus</t>
  </si>
  <si>
    <t>Enterococcus</t>
  </si>
  <si>
    <t>Lactobacillus</t>
  </si>
  <si>
    <t>Weissella</t>
  </si>
  <si>
    <t>Lactococcus</t>
  </si>
  <si>
    <t>Streptococcus</t>
  </si>
  <si>
    <t>Christensenella</t>
  </si>
  <si>
    <t>Clostridium</t>
  </si>
  <si>
    <t>Hungatella</t>
  </si>
  <si>
    <t>Mogibacterium</t>
  </si>
  <si>
    <t>Intestinimonas</t>
  </si>
  <si>
    <t>Eubacterium</t>
  </si>
  <si>
    <t>Pseudoramibacter</t>
  </si>
  <si>
    <t>Anaerostipes</t>
  </si>
  <si>
    <t>Anaerotignum</t>
  </si>
  <si>
    <t>Blautia</t>
  </si>
  <si>
    <t>Coprococcus</t>
  </si>
  <si>
    <t>Dorea</t>
  </si>
  <si>
    <t>Eisenbergiella</t>
  </si>
  <si>
    <t>Fusicatenibacter</t>
  </si>
  <si>
    <t>Lachnoclostridium</t>
  </si>
  <si>
    <t>Lachnospira</t>
  </si>
  <si>
    <t>Mediterraneibacter</t>
  </si>
  <si>
    <t>Roseburia</t>
  </si>
  <si>
    <t>Oscillibacter</t>
  </si>
  <si>
    <t>Agathobaculum</t>
  </si>
  <si>
    <t>Anaerotruncus</t>
  </si>
  <si>
    <t>Faecalibacterium</t>
  </si>
  <si>
    <t>Flavonifractor</t>
  </si>
  <si>
    <t>Gemmiger</t>
  </si>
  <si>
    <t>Ruminococcus</t>
  </si>
  <si>
    <t>Ruthenibacterium</t>
  </si>
  <si>
    <t>Subdoligranulum</t>
  </si>
  <si>
    <t>Catenibacterium</t>
  </si>
  <si>
    <t>Coprobacillus</t>
  </si>
  <si>
    <t>Holdemanella</t>
  </si>
  <si>
    <t>Holdemania</t>
  </si>
  <si>
    <t>Turicibacter</t>
  </si>
  <si>
    <t>Phascolarctobacterium</t>
  </si>
  <si>
    <t>Megamonas</t>
  </si>
  <si>
    <t>Dialister</t>
  </si>
  <si>
    <t>Megasphaera</t>
  </si>
  <si>
    <t>Veillonella</t>
  </si>
  <si>
    <t>Parvimonas</t>
  </si>
  <si>
    <t>Peptoniphilus</t>
  </si>
  <si>
    <t>Mesosutterella</t>
  </si>
  <si>
    <t>Parasutterella</t>
  </si>
  <si>
    <t>Sutterella</t>
  </si>
  <si>
    <t>Bilophila</t>
  </si>
  <si>
    <t>Desulfovibrio</t>
  </si>
  <si>
    <t>Citrobacter</t>
  </si>
  <si>
    <t>Enterobacter</t>
  </si>
  <si>
    <t>Escherichia</t>
  </si>
  <si>
    <t>Klebsiella</t>
  </si>
  <si>
    <t>Cloacibacillus</t>
  </si>
  <si>
    <t>Pyramidobacter</t>
  </si>
  <si>
    <t>Akkermansia</t>
  </si>
  <si>
    <t>ava</t>
    <phoneticPr fontId="1" type="noConversion"/>
  </si>
  <si>
    <t>Lactobacillus paragasseri</t>
  </si>
  <si>
    <t>Massilistercora timonensis</t>
  </si>
  <si>
    <t>Ruminococcus torques</t>
  </si>
  <si>
    <t>Solibaculum mannosilyticum</t>
  </si>
  <si>
    <t>Megamonas rupellensis</t>
  </si>
  <si>
    <t>Bacteroides faecis</t>
  </si>
  <si>
    <t>Alistipes senegalensis</t>
  </si>
  <si>
    <t>Parabacteroides gordonii</t>
  </si>
  <si>
    <t>Fusobacterium varium</t>
  </si>
  <si>
    <t>Cloacibacillus evryensis</t>
  </si>
  <si>
    <t>Faecalibacillus qingdaonensis</t>
  </si>
  <si>
    <t>Clostridium qingdaonensis</t>
  </si>
  <si>
    <t>Negativibacillus qingdaonensis</t>
  </si>
  <si>
    <t>Blautia sp.</t>
  </si>
  <si>
    <t>Ruminococcus bromii</t>
  </si>
  <si>
    <t>Coprococcus catus</t>
  </si>
  <si>
    <t>Jutongia qingdaonensis</t>
  </si>
  <si>
    <t>Blautia qingdaonensis</t>
  </si>
  <si>
    <t>Ruminococcus qingdaonensis</t>
  </si>
  <si>
    <t>Blautia propionicigenes</t>
  </si>
  <si>
    <t>Enterococcus qingdaonensis</t>
  </si>
  <si>
    <t>Eisenbergiella hominis</t>
  </si>
  <si>
    <t>Clostridium nexile</t>
  </si>
  <si>
    <t>Streptococcus qingdaonensis</t>
  </si>
  <si>
    <t>Ruminococcus lactaris</t>
  </si>
  <si>
    <t>Pyramidobacter qingdaonensis</t>
  </si>
  <si>
    <t>Dorea formicigenerans</t>
  </si>
  <si>
    <t>Lactobacillus qingdaonensis</t>
  </si>
  <si>
    <t>Escherichia coli</t>
  </si>
  <si>
    <t>Lactobacillus flagellatus</t>
  </si>
  <si>
    <t>Neobitarella massiliensis</t>
  </si>
  <si>
    <t>Traorella qingdaonensis</t>
  </si>
  <si>
    <t>Lactobacillus rogosae</t>
  </si>
  <si>
    <t>Lactobacillus sp.</t>
  </si>
  <si>
    <t>Lachnospira pectinoschiza-1</t>
    <phoneticPr fontId="1" type="noConversion"/>
  </si>
  <si>
    <t>Others</t>
  </si>
  <si>
    <t>RA1</t>
  </si>
  <si>
    <t>RA2</t>
  </si>
  <si>
    <t>RA3</t>
  </si>
  <si>
    <t>RA4</t>
  </si>
  <si>
    <t>RA5</t>
  </si>
  <si>
    <t>RA6</t>
  </si>
  <si>
    <t>RA7</t>
  </si>
  <si>
    <t>RA8</t>
  </si>
  <si>
    <t>RA9</t>
  </si>
  <si>
    <t>RA10</t>
  </si>
  <si>
    <t>RA11</t>
  </si>
  <si>
    <t>RA12</t>
  </si>
  <si>
    <t>RA13</t>
  </si>
  <si>
    <t>RA14</t>
  </si>
  <si>
    <t>RA15</t>
  </si>
  <si>
    <t>RA16</t>
  </si>
  <si>
    <t>RA17</t>
  </si>
  <si>
    <t>RA18</t>
  </si>
  <si>
    <t>RA19</t>
  </si>
  <si>
    <t>RA20</t>
  </si>
  <si>
    <t>ava</t>
  </si>
  <si>
    <t>Roseburia_faecis-1</t>
    <phoneticPr fontId="1" type="noConversion"/>
  </si>
  <si>
    <t>Ruminococcus sp CAG 177</t>
  </si>
  <si>
    <t>Blautia longa</t>
  </si>
  <si>
    <t>Vescimonas butyriciproducens</t>
  </si>
  <si>
    <t>Naizhengia acetigignens</t>
  </si>
  <si>
    <t>Blautia ovalis</t>
  </si>
  <si>
    <t>Vescimonas immobilis</t>
  </si>
  <si>
    <t>Blautia flagellata</t>
  </si>
  <si>
    <t>Blautia arthritidis</t>
  </si>
  <si>
    <t>Mengyingia acetigenes</t>
  </si>
  <si>
    <t>Senegalimassilia arthritidis</t>
  </si>
  <si>
    <t>Mediterraneibacter tenuis</t>
  </si>
  <si>
    <t>Roseburia faecis-1</t>
    <phoneticPr fontId="1" type="noConversion"/>
  </si>
  <si>
    <t>Faecalibacillus</t>
  </si>
  <si>
    <t>Hominisplanchenecus</t>
  </si>
  <si>
    <t>Fournierella</t>
  </si>
  <si>
    <t>Negativibacillus</t>
  </si>
  <si>
    <t>Limosilactobacillus</t>
  </si>
  <si>
    <t>Jutongia</t>
  </si>
  <si>
    <t>Shigella</t>
  </si>
  <si>
    <t>Jeotgalicoccus</t>
  </si>
  <si>
    <t>Raoultibacter</t>
  </si>
  <si>
    <t>Gabonibacter</t>
  </si>
  <si>
    <t>Lacticaseibacillus</t>
  </si>
  <si>
    <t>Lactiplantibacillus</t>
  </si>
  <si>
    <t>Wujia</t>
  </si>
  <si>
    <t>Dysosmobacter</t>
  </si>
  <si>
    <t>Hydrogeniiclostridium</t>
  </si>
  <si>
    <t>Pusillibacter</t>
  </si>
  <si>
    <t>Flintibacter</t>
  </si>
  <si>
    <t>Paeniclostridium</t>
  </si>
  <si>
    <t>Paraclostridium</t>
  </si>
  <si>
    <t>Fenollaria</t>
  </si>
  <si>
    <t>Fusobacterium</t>
  </si>
  <si>
    <t>Solibaculum</t>
  </si>
  <si>
    <t>Massilistercora</t>
  </si>
  <si>
    <t>Diplocloster</t>
  </si>
  <si>
    <t>Lentihominibacter</t>
  </si>
  <si>
    <t>Lactonifactor</t>
  </si>
  <si>
    <t>Neglectibacter</t>
  </si>
  <si>
    <t>Micrococcus</t>
  </si>
  <si>
    <t>Microbacterium</t>
  </si>
  <si>
    <t>Harryflintia</t>
  </si>
  <si>
    <t>Bacillus</t>
  </si>
  <si>
    <t>Vescimonas</t>
  </si>
  <si>
    <t>Angelakisella</t>
  </si>
  <si>
    <t>Lancefieldella</t>
  </si>
  <si>
    <t>Enterocloster</t>
  </si>
  <si>
    <t>Faecalicatena</t>
  </si>
  <si>
    <t>Lacrimispora</t>
  </si>
  <si>
    <t>Moraxella</t>
  </si>
  <si>
    <t>Varibaculum</t>
  </si>
  <si>
    <t>Luoshenia</t>
  </si>
  <si>
    <t>Ligilactobacillus</t>
  </si>
  <si>
    <t>Neobitarella</t>
  </si>
  <si>
    <t>Waltera</t>
  </si>
  <si>
    <t>Pseudoflavonifractor</t>
  </si>
  <si>
    <t>Traorella</t>
  </si>
  <si>
    <t>Phocea</t>
  </si>
  <si>
    <t>Pediococcus</t>
  </si>
  <si>
    <t>Drancourtella</t>
  </si>
  <si>
    <t>Anaeroglobus</t>
  </si>
  <si>
    <t>Levyella</t>
  </si>
  <si>
    <t>Gemmiger formicilis</t>
    <phoneticPr fontId="1" type="noConversion"/>
  </si>
  <si>
    <t>Eubacterium ramulus</t>
    <phoneticPr fontId="1" type="noConversion"/>
  </si>
  <si>
    <t>Roseburia hominis</t>
    <phoneticPr fontId="1" type="noConversion"/>
  </si>
  <si>
    <t>Ruminococcus lactaris</t>
    <phoneticPr fontId="1" type="noConversion"/>
  </si>
  <si>
    <t>Ruminococcus torques</t>
    <phoneticPr fontId="1" type="noConversion"/>
  </si>
  <si>
    <t>Ruminococcus gnavus</t>
    <phoneticPr fontId="1" type="noConversion"/>
  </si>
  <si>
    <t>Coprococcus eutactus</t>
    <phoneticPr fontId="1" type="noConversion"/>
  </si>
  <si>
    <t>Eubacterium hallii</t>
    <phoneticPr fontId="1" type="noConversion"/>
  </si>
  <si>
    <t xml:space="preserve">Species_RAGMB_high similarity </t>
    <phoneticPr fontId="1" type="noConversion"/>
  </si>
  <si>
    <t xml:space="preserve">Genus_RAGMB_high similarity </t>
    <phoneticPr fontId="1" type="noConversion"/>
  </si>
  <si>
    <t>RA1_profiled_metagenome</t>
    <phoneticPr fontId="1" type="noConversion"/>
  </si>
  <si>
    <t>metagenome</t>
  </si>
  <si>
    <t>metagenome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</si>
</sst>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/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4CE6-C47A-48B4-8452-546AE8EC7B64}">
  <dimension ref="A1:V59"/>
  <sheetViews>
    <sheetView workbookViewId="0">
      <selection activeCell="B8" sqref="B8"/>
    </sheetView>
  </sheetViews>
  <sheetFormatPr defaultRowHeight="14" x14ac:dyDescent="0.3"/>
  <cols>
    <col min="1" max="1" width="27" customWidth="1"/>
  </cols>
  <sheetData>
    <row r="1" spans="1:22" x14ac:dyDescent="0.3">
      <c r="A1" t="s">
        <v>626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20</v>
      </c>
      <c r="K1" t="s">
        <v>1</v>
      </c>
      <c r="L1" t="s">
        <v>19</v>
      </c>
      <c r="M1" t="s">
        <v>18</v>
      </c>
      <c r="N1" t="s">
        <v>17</v>
      </c>
      <c r="O1" t="s">
        <v>16</v>
      </c>
      <c r="P1" t="s">
        <v>15</v>
      </c>
      <c r="Q1" t="s">
        <v>14</v>
      </c>
      <c r="R1" t="s">
        <v>13</v>
      </c>
      <c r="S1" t="s">
        <v>12</v>
      </c>
      <c r="T1" t="s">
        <v>11</v>
      </c>
      <c r="U1" t="s">
        <v>10</v>
      </c>
      <c r="V1" t="s">
        <v>493</v>
      </c>
    </row>
    <row r="2" spans="1:22" x14ac:dyDescent="0.3">
      <c r="A2" t="s">
        <v>388</v>
      </c>
      <c r="B2">
        <v>11.033010000000001</v>
      </c>
      <c r="C2">
        <v>19.561910000000001</v>
      </c>
      <c r="D2">
        <v>4.6176000000000004</v>
      </c>
      <c r="E2">
        <v>16.896599999999999</v>
      </c>
      <c r="F2">
        <v>16.042079999999999</v>
      </c>
      <c r="G2">
        <v>8.4957899999999995</v>
      </c>
      <c r="H2">
        <v>19.76548</v>
      </c>
      <c r="I2">
        <v>38.1584</v>
      </c>
      <c r="J2">
        <v>21.206219999999998</v>
      </c>
      <c r="K2">
        <v>23.145230000000002</v>
      </c>
      <c r="L2">
        <v>32.945210000000003</v>
      </c>
      <c r="M2">
        <v>13.586270000000001</v>
      </c>
      <c r="N2">
        <v>14.010590000000001</v>
      </c>
      <c r="O2">
        <v>10.675789999999999</v>
      </c>
      <c r="P2">
        <v>29.36908</v>
      </c>
      <c r="Q2">
        <v>31.553809999999999</v>
      </c>
      <c r="R2">
        <v>17.404679999999999</v>
      </c>
      <c r="S2">
        <v>16.848960000000002</v>
      </c>
      <c r="T2">
        <v>29.111750000000001</v>
      </c>
      <c r="U2">
        <v>22.196809999999999</v>
      </c>
      <c r="V2">
        <f t="shared" ref="V2:V33" si="0">AVERAGE(B2:U2)</f>
        <v>19.831263499999999</v>
      </c>
    </row>
    <row r="3" spans="1:22" x14ac:dyDescent="0.3">
      <c r="A3" t="s">
        <v>357</v>
      </c>
      <c r="B3">
        <v>27.17014</v>
      </c>
      <c r="C3">
        <v>16.072299999999998</v>
      </c>
      <c r="D3">
        <v>73.178569999999993</v>
      </c>
      <c r="E3">
        <v>39.017650000000003</v>
      </c>
      <c r="F3">
        <v>22.1325</v>
      </c>
      <c r="G3">
        <v>60.02957</v>
      </c>
      <c r="H3">
        <v>38.048169999999999</v>
      </c>
      <c r="I3">
        <v>13.51779</v>
      </c>
      <c r="J3">
        <v>0.11138000000000001</v>
      </c>
      <c r="K3">
        <v>4.1605100000000004</v>
      </c>
      <c r="L3">
        <v>13.9533</v>
      </c>
      <c r="M3">
        <v>9.9930800000000009</v>
      </c>
      <c r="N3">
        <v>3.04772</v>
      </c>
      <c r="O3">
        <v>1.0019999999999999E-2</v>
      </c>
      <c r="P3">
        <v>10.424910000000001</v>
      </c>
      <c r="Q3">
        <v>6.4576399999999996</v>
      </c>
      <c r="R3">
        <v>2.2393299999999998</v>
      </c>
      <c r="S3">
        <v>0.52593000000000001</v>
      </c>
      <c r="T3">
        <v>4.4673100000000003</v>
      </c>
      <c r="U3">
        <v>2.3308200000000001</v>
      </c>
      <c r="V3">
        <f t="shared" si="0"/>
        <v>17.344432000000005</v>
      </c>
    </row>
    <row r="4" spans="1:22" x14ac:dyDescent="0.3">
      <c r="A4" t="s">
        <v>391</v>
      </c>
      <c r="B4">
        <v>8.5528999999999993</v>
      </c>
      <c r="C4">
        <v>12.60019</v>
      </c>
      <c r="D4">
        <v>3.3525200000000002</v>
      </c>
      <c r="E4">
        <v>12.88696</v>
      </c>
      <c r="F4">
        <v>13.544280000000001</v>
      </c>
      <c r="G4">
        <v>16.37528</v>
      </c>
      <c r="H4">
        <v>8.4438999999999993</v>
      </c>
      <c r="I4">
        <v>6.7978899999999998</v>
      </c>
      <c r="J4">
        <v>13.78637</v>
      </c>
      <c r="K4">
        <v>17.178059999999999</v>
      </c>
      <c r="L4">
        <v>8.8497000000000003</v>
      </c>
      <c r="M4">
        <v>13.12288</v>
      </c>
      <c r="N4">
        <v>42.338889999999999</v>
      </c>
      <c r="O4">
        <v>14.397069999999999</v>
      </c>
      <c r="P4">
        <v>17.763559999999998</v>
      </c>
      <c r="Q4">
        <v>22.383469999999999</v>
      </c>
      <c r="R4">
        <v>15.55719</v>
      </c>
      <c r="S4">
        <v>10.99357</v>
      </c>
      <c r="T4">
        <v>10.404949999999999</v>
      </c>
      <c r="U4">
        <v>28.881830000000001</v>
      </c>
      <c r="V4">
        <f t="shared" si="0"/>
        <v>14.910572999999994</v>
      </c>
    </row>
    <row r="5" spans="1:22" x14ac:dyDescent="0.3">
      <c r="A5" t="s">
        <v>371</v>
      </c>
      <c r="B5">
        <v>5.058E-2</v>
      </c>
      <c r="C5">
        <v>11.550230000000001</v>
      </c>
      <c r="D5">
        <v>1.7433099999999999</v>
      </c>
      <c r="E5">
        <v>2.3879999999999998E-2</v>
      </c>
      <c r="F5">
        <v>3.31E-3</v>
      </c>
      <c r="G5">
        <v>6.7680000000000004E-2</v>
      </c>
      <c r="H5">
        <v>5.3460000000000001E-2</v>
      </c>
      <c r="I5">
        <v>2.5876399999999999</v>
      </c>
      <c r="J5">
        <v>38.025100000000002</v>
      </c>
      <c r="K5">
        <v>1.53328</v>
      </c>
      <c r="L5">
        <v>7.4200000000000004E-3</v>
      </c>
      <c r="M5">
        <v>1.7539899999999999</v>
      </c>
      <c r="N5">
        <v>5.0999999999999997E-2</v>
      </c>
      <c r="O5">
        <v>42.753250000000001</v>
      </c>
      <c r="P5">
        <v>10.108180000000001</v>
      </c>
      <c r="Q5">
        <v>0.29796</v>
      </c>
      <c r="R5">
        <v>44.75891</v>
      </c>
      <c r="S5">
        <v>17.153390000000002</v>
      </c>
      <c r="T5">
        <v>2.27264</v>
      </c>
      <c r="U5">
        <v>5.4352200000000002</v>
      </c>
      <c r="V5">
        <f t="shared" si="0"/>
        <v>9.0115215000000006</v>
      </c>
    </row>
    <row r="6" spans="1:22" x14ac:dyDescent="0.3">
      <c r="A6" t="s">
        <v>366</v>
      </c>
      <c r="B6">
        <v>3.786</v>
      </c>
      <c r="C6">
        <v>5.3715599999999997</v>
      </c>
      <c r="D6">
        <v>2.19204</v>
      </c>
      <c r="E6">
        <v>6.6741999999999999</v>
      </c>
      <c r="F6">
        <v>19.97672</v>
      </c>
      <c r="G6">
        <v>1.36077</v>
      </c>
      <c r="H6">
        <v>0.62929000000000002</v>
      </c>
      <c r="I6">
        <v>3.60745</v>
      </c>
      <c r="J6">
        <v>12.484629999999999</v>
      </c>
      <c r="K6">
        <v>21.47129</v>
      </c>
      <c r="L6">
        <v>28.129960000000001</v>
      </c>
      <c r="M6">
        <v>4.7584999999999997</v>
      </c>
      <c r="N6">
        <v>12.14963</v>
      </c>
      <c r="O6">
        <v>11.620760000000001</v>
      </c>
      <c r="P6">
        <v>4.2733600000000003</v>
      </c>
      <c r="Q6">
        <v>7.2206799999999998</v>
      </c>
      <c r="R6">
        <v>3.3298800000000002</v>
      </c>
      <c r="S6">
        <v>1.69275</v>
      </c>
      <c r="T6">
        <v>6.1689999999999996</v>
      </c>
      <c r="U6">
        <v>5.5977100000000002</v>
      </c>
      <c r="V6">
        <f t="shared" si="0"/>
        <v>8.1248089999999991</v>
      </c>
    </row>
    <row r="7" spans="1:22" x14ac:dyDescent="0.3">
      <c r="A7" t="s">
        <v>387</v>
      </c>
      <c r="B7">
        <v>1.0477799999999999</v>
      </c>
      <c r="C7">
        <v>6.4623900000000001</v>
      </c>
      <c r="D7">
        <v>1.0746500000000001</v>
      </c>
      <c r="E7">
        <v>2.2439900000000002</v>
      </c>
      <c r="F7">
        <v>4.5565899999999999</v>
      </c>
      <c r="G7">
        <v>4.9231199999999999</v>
      </c>
      <c r="H7">
        <v>5.5797400000000001</v>
      </c>
      <c r="I7">
        <v>5.3393800000000002</v>
      </c>
      <c r="J7">
        <v>1.92363</v>
      </c>
      <c r="K7">
        <v>10.21083</v>
      </c>
      <c r="L7">
        <v>5.0346299999999999</v>
      </c>
      <c r="M7">
        <v>4.1313399999999998</v>
      </c>
      <c r="N7">
        <v>3.9279299999999999</v>
      </c>
      <c r="O7">
        <v>2.4843199999999999</v>
      </c>
      <c r="P7">
        <v>5.6412699999999996</v>
      </c>
      <c r="Q7">
        <v>6.9524800000000004</v>
      </c>
      <c r="R7">
        <v>2.6755800000000001</v>
      </c>
      <c r="S7">
        <v>1.3584700000000001</v>
      </c>
      <c r="T7">
        <v>5.7701200000000004</v>
      </c>
      <c r="U7">
        <v>2.1073599999999999</v>
      </c>
      <c r="V7">
        <f t="shared" si="0"/>
        <v>4.1722799999999998</v>
      </c>
    </row>
    <row r="8" spans="1:22" x14ac:dyDescent="0.3">
      <c r="A8" t="s">
        <v>393</v>
      </c>
      <c r="B8">
        <v>6.7476799999999999</v>
      </c>
      <c r="C8">
        <v>6.3959700000000002</v>
      </c>
      <c r="D8">
        <v>1.19641</v>
      </c>
      <c r="E8">
        <v>4.9848800000000004</v>
      </c>
      <c r="F8">
        <v>4.6786199999999996</v>
      </c>
      <c r="G8">
        <v>1.8043499999999999</v>
      </c>
      <c r="H8">
        <v>5.5685099999999998</v>
      </c>
      <c r="I8">
        <v>0.77420999999999995</v>
      </c>
      <c r="J8">
        <v>1.0867599999999999</v>
      </c>
      <c r="K8">
        <v>3.2852399999999999</v>
      </c>
      <c r="L8">
        <v>1.9487399999999999</v>
      </c>
      <c r="M8">
        <v>0.94010000000000005</v>
      </c>
      <c r="N8">
        <v>5.1692099999999996</v>
      </c>
      <c r="O8">
        <v>0.77783000000000002</v>
      </c>
      <c r="P8">
        <v>4.3299599999999998</v>
      </c>
      <c r="Q8">
        <v>5.2028100000000004</v>
      </c>
      <c r="R8">
        <v>1.54495</v>
      </c>
      <c r="S8">
        <v>0.37045</v>
      </c>
      <c r="T8">
        <v>5.1273299999999997</v>
      </c>
      <c r="U8">
        <v>4.1950099999999999</v>
      </c>
      <c r="V8">
        <f t="shared" si="0"/>
        <v>3.306451</v>
      </c>
    </row>
    <row r="9" spans="1:22" x14ac:dyDescent="0.3">
      <c r="A9" t="s">
        <v>364</v>
      </c>
      <c r="B9">
        <v>4.7989300000000004</v>
      </c>
      <c r="C9">
        <v>1.90659</v>
      </c>
      <c r="D9">
        <v>5.1007699999999998</v>
      </c>
      <c r="E9">
        <v>0</v>
      </c>
      <c r="F9">
        <v>1.6696599999999999</v>
      </c>
      <c r="G9">
        <v>2.6807699999999999</v>
      </c>
      <c r="H9">
        <v>12.200609999999999</v>
      </c>
      <c r="I9">
        <v>11.35238</v>
      </c>
      <c r="J9">
        <v>0.56274999999999997</v>
      </c>
      <c r="K9">
        <v>9.5200000000000007E-2</v>
      </c>
      <c r="L9">
        <v>0</v>
      </c>
      <c r="M9">
        <v>0.68547999999999998</v>
      </c>
      <c r="N9">
        <v>0</v>
      </c>
      <c r="O9">
        <v>0.15998000000000001</v>
      </c>
      <c r="P9">
        <v>1.2028700000000001</v>
      </c>
      <c r="Q9">
        <v>3.4542899999999999</v>
      </c>
      <c r="R9">
        <v>1.29539</v>
      </c>
      <c r="S9">
        <v>1.73813</v>
      </c>
      <c r="T9">
        <v>4.3488300000000004</v>
      </c>
      <c r="U9">
        <v>11.81122</v>
      </c>
      <c r="V9">
        <f t="shared" si="0"/>
        <v>3.2531924999999995</v>
      </c>
    </row>
    <row r="10" spans="1:22" x14ac:dyDescent="0.3">
      <c r="A10" t="s">
        <v>407</v>
      </c>
      <c r="B10">
        <v>0.44419999999999998</v>
      </c>
      <c r="C10">
        <v>0.47996</v>
      </c>
      <c r="D10">
        <v>4.4162800000000004</v>
      </c>
      <c r="E10">
        <v>4.6800000000000001E-3</v>
      </c>
      <c r="F10">
        <v>2.4547400000000001</v>
      </c>
      <c r="G10">
        <v>5.3620000000000001E-2</v>
      </c>
      <c r="H10">
        <v>0.38250000000000001</v>
      </c>
      <c r="I10">
        <v>7.757E-2</v>
      </c>
      <c r="J10">
        <v>4.3319999999999997E-2</v>
      </c>
      <c r="K10">
        <v>5.2199999999999998E-3</v>
      </c>
      <c r="L10">
        <v>4.3430000000000003E-2</v>
      </c>
      <c r="M10">
        <v>42.510309999999997</v>
      </c>
      <c r="N10">
        <v>9.1900000000000003E-3</v>
      </c>
      <c r="O10">
        <v>0</v>
      </c>
      <c r="P10">
        <v>0</v>
      </c>
      <c r="Q10">
        <v>0.76648000000000005</v>
      </c>
      <c r="R10">
        <v>0.79418</v>
      </c>
      <c r="S10">
        <v>7.3014400000000004</v>
      </c>
      <c r="T10">
        <v>1.0986800000000001</v>
      </c>
      <c r="U10">
        <v>0</v>
      </c>
      <c r="V10">
        <f t="shared" si="0"/>
        <v>3.0442899999999997</v>
      </c>
    </row>
    <row r="11" spans="1:22" x14ac:dyDescent="0.3">
      <c r="A11" t="s">
        <v>381</v>
      </c>
      <c r="B11">
        <v>11.29542</v>
      </c>
      <c r="C11">
        <v>2.512E-2</v>
      </c>
      <c r="D11">
        <v>1.14E-3</v>
      </c>
      <c r="E11">
        <v>0.11527</v>
      </c>
      <c r="F11">
        <v>0.11409</v>
      </c>
      <c r="G11">
        <v>0.25361</v>
      </c>
      <c r="H11">
        <v>0.28878999999999999</v>
      </c>
      <c r="I11">
        <v>0.23874999999999999</v>
      </c>
      <c r="J11">
        <v>1.1140000000000001E-2</v>
      </c>
      <c r="K11">
        <v>4.5850000000000002E-2</v>
      </c>
      <c r="L11">
        <v>6.3708600000000004</v>
      </c>
      <c r="M11">
        <v>0</v>
      </c>
      <c r="N11">
        <v>0.17147000000000001</v>
      </c>
      <c r="O11">
        <v>0.68101</v>
      </c>
      <c r="P11">
        <v>0.32549</v>
      </c>
      <c r="Q11">
        <v>1.4370000000000001E-2</v>
      </c>
      <c r="R11">
        <v>3.2849999999999997E-2</v>
      </c>
      <c r="S11">
        <v>33.36748</v>
      </c>
      <c r="T11">
        <v>1.244E-2</v>
      </c>
      <c r="U11">
        <v>1.1421399999999999</v>
      </c>
      <c r="V11">
        <f t="shared" si="0"/>
        <v>2.7253644999999995</v>
      </c>
    </row>
    <row r="12" spans="1:22" x14ac:dyDescent="0.3">
      <c r="A12" t="s">
        <v>384</v>
      </c>
      <c r="B12">
        <v>5.7599999999999998E-2</v>
      </c>
      <c r="C12">
        <v>3.7571699999999999</v>
      </c>
      <c r="D12">
        <v>0.24396000000000001</v>
      </c>
      <c r="E12">
        <v>3.9751699999999999</v>
      </c>
      <c r="F12">
        <v>1.56799</v>
      </c>
      <c r="G12">
        <v>4.9739999999999999E-2</v>
      </c>
      <c r="H12">
        <v>8.2589999999999997E-2</v>
      </c>
      <c r="I12">
        <v>2.2728799999999998</v>
      </c>
      <c r="J12">
        <v>2.0306899999999999</v>
      </c>
      <c r="K12">
        <v>4.3794500000000003</v>
      </c>
      <c r="L12">
        <v>0.11269</v>
      </c>
      <c r="M12">
        <v>1.23465</v>
      </c>
      <c r="N12">
        <v>5.0279199999999999</v>
      </c>
      <c r="O12">
        <v>11.08789</v>
      </c>
      <c r="P12">
        <v>2.0051100000000002</v>
      </c>
      <c r="Q12">
        <v>3.8831899999999999</v>
      </c>
      <c r="R12">
        <v>1.43919</v>
      </c>
      <c r="S12">
        <v>0.69686000000000003</v>
      </c>
      <c r="T12">
        <v>4.3760399999999997</v>
      </c>
      <c r="U12">
        <v>5.7851299999999997</v>
      </c>
      <c r="V12">
        <f t="shared" si="0"/>
        <v>2.7032955000000003</v>
      </c>
    </row>
    <row r="13" spans="1:22" x14ac:dyDescent="0.3">
      <c r="A13" t="s">
        <v>389</v>
      </c>
      <c r="B13">
        <v>11.7834</v>
      </c>
      <c r="C13">
        <v>2.9310399999999999</v>
      </c>
      <c r="D13">
        <v>0.49626999999999999</v>
      </c>
      <c r="E13">
        <v>3.2668599999999999</v>
      </c>
      <c r="F13">
        <v>3.1090599999999999</v>
      </c>
      <c r="G13">
        <v>0.15458</v>
      </c>
      <c r="H13">
        <v>0.27460000000000001</v>
      </c>
      <c r="I13">
        <v>6.6286399999999999</v>
      </c>
      <c r="J13">
        <v>2.0255899999999998</v>
      </c>
      <c r="K13">
        <v>2.5170699999999999</v>
      </c>
      <c r="L13">
        <v>1.5610000000000001E-2</v>
      </c>
      <c r="M13">
        <v>0.89368999999999998</v>
      </c>
      <c r="N13">
        <v>4.0248499999999998</v>
      </c>
      <c r="O13">
        <v>0.53637000000000001</v>
      </c>
      <c r="P13">
        <v>2.87242</v>
      </c>
      <c r="Q13">
        <v>0.86267000000000005</v>
      </c>
      <c r="R13">
        <v>0.96899000000000002</v>
      </c>
      <c r="S13">
        <v>0.38413999999999998</v>
      </c>
      <c r="T13">
        <v>1.9464900000000001</v>
      </c>
      <c r="U13">
        <v>3.2730700000000001</v>
      </c>
      <c r="V13">
        <f t="shared" si="0"/>
        <v>2.4482704999999996</v>
      </c>
    </row>
    <row r="14" spans="1:22" x14ac:dyDescent="0.3">
      <c r="A14" t="s">
        <v>372</v>
      </c>
      <c r="B14">
        <v>3.11849</v>
      </c>
      <c r="C14">
        <v>7.9511700000000003</v>
      </c>
      <c r="D14">
        <v>0.86429999999999996</v>
      </c>
      <c r="E14">
        <v>4.9220199999999998</v>
      </c>
      <c r="F14">
        <v>2.2475499999999999</v>
      </c>
      <c r="G14">
        <v>0.85314999999999996</v>
      </c>
      <c r="H14">
        <v>0.13175999999999999</v>
      </c>
      <c r="I14">
        <v>1.23888</v>
      </c>
      <c r="J14">
        <v>1.24512</v>
      </c>
      <c r="K14">
        <v>6.8725100000000001</v>
      </c>
      <c r="L14">
        <v>5.2299999999999999E-2</v>
      </c>
      <c r="M14">
        <v>0.48310999999999998</v>
      </c>
      <c r="N14">
        <v>4.2549599999999996</v>
      </c>
      <c r="O14">
        <v>0.69462999999999997</v>
      </c>
      <c r="P14">
        <v>0.82865999999999995</v>
      </c>
      <c r="Q14">
        <v>0.64258999999999999</v>
      </c>
      <c r="R14">
        <v>1.8030999999999999</v>
      </c>
      <c r="S14">
        <v>8.3800000000000003E-3</v>
      </c>
      <c r="T14">
        <v>1.8877999999999999</v>
      </c>
      <c r="U14">
        <v>3.5696300000000001</v>
      </c>
      <c r="V14">
        <f t="shared" si="0"/>
        <v>2.1835054999999999</v>
      </c>
    </row>
    <row r="15" spans="1:22" x14ac:dyDescent="0.3">
      <c r="A15" t="s">
        <v>413</v>
      </c>
      <c r="B15">
        <v>3.4578700000000002</v>
      </c>
      <c r="C15">
        <v>0</v>
      </c>
      <c r="D15">
        <v>2.4000000000000001E-4</v>
      </c>
      <c r="E15">
        <v>0</v>
      </c>
      <c r="F15">
        <v>7.3029999999999998E-2</v>
      </c>
      <c r="G15">
        <v>0.39302999999999999</v>
      </c>
      <c r="H15">
        <v>6.2485200000000001</v>
      </c>
      <c r="I15">
        <v>0</v>
      </c>
      <c r="J15">
        <v>0</v>
      </c>
      <c r="K15">
        <v>0</v>
      </c>
      <c r="L15">
        <v>0</v>
      </c>
      <c r="M15">
        <v>1.328E-2</v>
      </c>
      <c r="N15">
        <v>0.66237000000000001</v>
      </c>
      <c r="O15">
        <v>0</v>
      </c>
      <c r="P15">
        <v>0</v>
      </c>
      <c r="Q15">
        <v>4.1500000000000002E-2</v>
      </c>
      <c r="R15">
        <v>0.53513999999999995</v>
      </c>
      <c r="S15">
        <v>0</v>
      </c>
      <c r="T15">
        <v>15.3704</v>
      </c>
      <c r="U15">
        <v>1.4102300000000001</v>
      </c>
      <c r="V15">
        <f t="shared" si="0"/>
        <v>1.4102804999999998</v>
      </c>
    </row>
    <row r="16" spans="1:22" x14ac:dyDescent="0.3">
      <c r="A16" t="s">
        <v>396</v>
      </c>
      <c r="B16">
        <v>0.10815</v>
      </c>
      <c r="C16">
        <v>6.9199999999999999E-3</v>
      </c>
      <c r="D16">
        <v>2.878E-2</v>
      </c>
      <c r="E16">
        <v>0.27318999999999999</v>
      </c>
      <c r="F16">
        <v>1.5575600000000001</v>
      </c>
      <c r="G16">
        <v>3.6490000000000002E-2</v>
      </c>
      <c r="H16">
        <v>0</v>
      </c>
      <c r="I16">
        <v>2.6020000000000001E-2</v>
      </c>
      <c r="J16">
        <v>0</v>
      </c>
      <c r="K16">
        <v>0.27746999999999999</v>
      </c>
      <c r="L16">
        <v>6.4420000000000005E-2</v>
      </c>
      <c r="M16">
        <v>2.9791500000000002</v>
      </c>
      <c r="N16">
        <v>1.46092</v>
      </c>
      <c r="O16">
        <v>2.0799999999999998E-3</v>
      </c>
      <c r="P16">
        <v>8.5499799999999997</v>
      </c>
      <c r="Q16">
        <v>4.1646200000000002</v>
      </c>
      <c r="R16">
        <v>0.65620000000000001</v>
      </c>
      <c r="S16">
        <v>0.84763999999999995</v>
      </c>
      <c r="T16">
        <v>3.1780000000000003E-2</v>
      </c>
      <c r="U16">
        <v>1.1039999999999999E-2</v>
      </c>
      <c r="V16">
        <f t="shared" si="0"/>
        <v>1.0541205</v>
      </c>
    </row>
    <row r="17" spans="1:22" x14ac:dyDescent="0.3">
      <c r="A17" t="s">
        <v>365</v>
      </c>
      <c r="B17">
        <v>0.74699000000000004</v>
      </c>
      <c r="C17">
        <v>0.72460999999999998</v>
      </c>
      <c r="D17">
        <v>0.72831000000000001</v>
      </c>
      <c r="E17">
        <v>1.7004999999999999</v>
      </c>
      <c r="F17">
        <v>1.14906</v>
      </c>
      <c r="G17">
        <v>1.4220200000000001</v>
      </c>
      <c r="H17">
        <v>0.62782000000000004</v>
      </c>
      <c r="I17">
        <v>0.48965999999999998</v>
      </c>
      <c r="J17">
        <v>0.53491</v>
      </c>
      <c r="K17">
        <v>0.43826999999999999</v>
      </c>
      <c r="L17">
        <v>0.82142999999999999</v>
      </c>
      <c r="M17">
        <v>0.13485</v>
      </c>
      <c r="N17">
        <v>0.56474999999999997</v>
      </c>
      <c r="O17">
        <v>0.57616999999999996</v>
      </c>
      <c r="P17">
        <v>0.45743</v>
      </c>
      <c r="Q17">
        <v>1.8256600000000001</v>
      </c>
      <c r="R17">
        <v>1.86103</v>
      </c>
      <c r="S17">
        <v>0.55376000000000003</v>
      </c>
      <c r="T17">
        <v>2.5140400000000001</v>
      </c>
      <c r="U17">
        <v>1.2695000000000001</v>
      </c>
      <c r="V17">
        <f t="shared" si="0"/>
        <v>0.95703850000000001</v>
      </c>
    </row>
    <row r="18" spans="1:22" x14ac:dyDescent="0.3">
      <c r="A18" t="s">
        <v>373</v>
      </c>
      <c r="B18">
        <v>0.68727000000000005</v>
      </c>
      <c r="C18">
        <v>0.37705</v>
      </c>
      <c r="D18">
        <v>8.1339999999999996E-2</v>
      </c>
      <c r="E18">
        <v>1.5379799999999999</v>
      </c>
      <c r="F18">
        <v>1.08371</v>
      </c>
      <c r="G18">
        <v>0.11948</v>
      </c>
      <c r="H18">
        <v>8.1439999999999999E-2</v>
      </c>
      <c r="I18">
        <v>0.50561</v>
      </c>
      <c r="J18">
        <v>0.50622</v>
      </c>
      <c r="K18">
        <v>0.58542000000000005</v>
      </c>
      <c r="L18">
        <v>0.58687</v>
      </c>
      <c r="M18">
        <v>0.16313</v>
      </c>
      <c r="N18">
        <v>1.0728200000000001</v>
      </c>
      <c r="O18">
        <v>0.52734000000000003</v>
      </c>
      <c r="P18">
        <v>0.84023000000000003</v>
      </c>
      <c r="Q18">
        <v>0.25289</v>
      </c>
      <c r="R18">
        <v>0.35582999999999998</v>
      </c>
      <c r="S18">
        <v>0.78356000000000003</v>
      </c>
      <c r="T18">
        <v>0.58953999999999995</v>
      </c>
      <c r="U18">
        <v>0.13191</v>
      </c>
      <c r="V18">
        <f t="shared" si="0"/>
        <v>0.54348199999999991</v>
      </c>
    </row>
    <row r="19" spans="1:22" x14ac:dyDescent="0.3">
      <c r="A19" t="s">
        <v>356</v>
      </c>
      <c r="B19">
        <v>1.5823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4.7315500000000004</v>
      </c>
      <c r="J19">
        <v>0</v>
      </c>
      <c r="K19">
        <v>0</v>
      </c>
      <c r="L19">
        <v>0</v>
      </c>
      <c r="M19">
        <v>0.79864000000000002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2.1369400000000001</v>
      </c>
      <c r="U19">
        <v>1.81E-3</v>
      </c>
      <c r="V19">
        <f t="shared" si="0"/>
        <v>0.46256200000000003</v>
      </c>
    </row>
    <row r="20" spans="1:22" x14ac:dyDescent="0.3">
      <c r="A20" t="s">
        <v>404</v>
      </c>
      <c r="B20">
        <v>1.145E-2</v>
      </c>
      <c r="C20">
        <v>4.7899999999999998E-2</v>
      </c>
      <c r="D20">
        <v>1.7829999999999999E-2</v>
      </c>
      <c r="E20">
        <v>0.18195</v>
      </c>
      <c r="F20">
        <v>1.4464300000000001</v>
      </c>
      <c r="G20">
        <v>8.0400000000000003E-3</v>
      </c>
      <c r="H20">
        <v>0.44736999999999999</v>
      </c>
      <c r="I20">
        <v>0</v>
      </c>
      <c r="J20">
        <v>0</v>
      </c>
      <c r="K20">
        <v>0.36199999999999999</v>
      </c>
      <c r="L20">
        <v>0.45040000000000002</v>
      </c>
      <c r="M20">
        <v>0.13708999999999999</v>
      </c>
      <c r="N20">
        <v>2.8230000000000002E-2</v>
      </c>
      <c r="O20">
        <v>1.22126</v>
      </c>
      <c r="P20">
        <v>0.38877</v>
      </c>
      <c r="Q20">
        <v>2.0862500000000002</v>
      </c>
      <c r="R20">
        <v>0.10678</v>
      </c>
      <c r="S20">
        <v>0.49256</v>
      </c>
      <c r="T20">
        <v>4.5100000000000001E-3</v>
      </c>
      <c r="U20">
        <v>9.7999999999999997E-3</v>
      </c>
      <c r="V20">
        <f t="shared" si="0"/>
        <v>0.37243100000000007</v>
      </c>
    </row>
    <row r="21" spans="1:22" x14ac:dyDescent="0.3">
      <c r="A21" t="s">
        <v>368</v>
      </c>
      <c r="B21">
        <v>0.15567</v>
      </c>
      <c r="C21">
        <v>1.74522</v>
      </c>
      <c r="D21">
        <v>9.7970000000000002E-2</v>
      </c>
      <c r="E21">
        <v>0.26645999999999997</v>
      </c>
      <c r="F21">
        <v>6.1580000000000003E-2</v>
      </c>
      <c r="G21">
        <v>5.8259999999999999E-2</v>
      </c>
      <c r="H21">
        <v>0</v>
      </c>
      <c r="I21">
        <v>0</v>
      </c>
      <c r="J21">
        <v>0.35443999999999998</v>
      </c>
      <c r="K21">
        <v>0.94084999999999996</v>
      </c>
      <c r="L21">
        <v>0</v>
      </c>
      <c r="M21">
        <v>6.966E-2</v>
      </c>
      <c r="N21">
        <v>1.4013</v>
      </c>
      <c r="O21">
        <v>0.14668</v>
      </c>
      <c r="P21">
        <v>0.31985999999999998</v>
      </c>
      <c r="Q21">
        <v>0.40321000000000001</v>
      </c>
      <c r="R21">
        <v>0.44436999999999999</v>
      </c>
      <c r="S21">
        <v>0</v>
      </c>
      <c r="T21">
        <v>0.62180999999999997</v>
      </c>
      <c r="U21">
        <v>7.4370000000000006E-2</v>
      </c>
      <c r="V21">
        <f t="shared" si="0"/>
        <v>0.3580855</v>
      </c>
    </row>
    <row r="22" spans="1:22" x14ac:dyDescent="0.3">
      <c r="A22" t="s">
        <v>392</v>
      </c>
      <c r="B22">
        <v>0.92210000000000003</v>
      </c>
      <c r="C22">
        <v>0.88002000000000002</v>
      </c>
      <c r="D22">
        <v>0.19436999999999999</v>
      </c>
      <c r="E22">
        <v>6.3030000000000003E-2</v>
      </c>
      <c r="F22">
        <v>4.5839999999999999E-2</v>
      </c>
      <c r="G22">
        <v>6.166E-2</v>
      </c>
      <c r="H22">
        <v>0.50327999999999995</v>
      </c>
      <c r="I22">
        <v>0.77634999999999998</v>
      </c>
      <c r="J22">
        <v>1.5057400000000001</v>
      </c>
      <c r="K22">
        <v>0.10309</v>
      </c>
      <c r="L22">
        <v>0.15511</v>
      </c>
      <c r="M22">
        <v>0.99490999999999996</v>
      </c>
      <c r="N22">
        <v>1.7850000000000001E-2</v>
      </c>
      <c r="O22">
        <v>6.8599999999999998E-3</v>
      </c>
      <c r="P22">
        <v>1.4290000000000001E-2</v>
      </c>
      <c r="Q22">
        <v>3.6810000000000002E-2</v>
      </c>
      <c r="R22">
        <v>3.1E-2</v>
      </c>
      <c r="S22">
        <v>3.0859999999999999E-2</v>
      </c>
      <c r="T22">
        <v>0.10252</v>
      </c>
      <c r="U22">
        <v>0.12631999999999999</v>
      </c>
      <c r="V22">
        <f t="shared" si="0"/>
        <v>0.32860049999999996</v>
      </c>
    </row>
    <row r="23" spans="1:22" x14ac:dyDescent="0.3">
      <c r="A23" t="s">
        <v>369</v>
      </c>
      <c r="B23">
        <v>0.25413999999999998</v>
      </c>
      <c r="C23">
        <v>0.74585999999999997</v>
      </c>
      <c r="D23">
        <v>7.2539999999999993E-2</v>
      </c>
      <c r="E23">
        <v>0.41093000000000002</v>
      </c>
      <c r="F23">
        <v>0.35027999999999998</v>
      </c>
      <c r="G23">
        <v>2.1999999999999999E-2</v>
      </c>
      <c r="H23">
        <v>4.8599999999999997E-3</v>
      </c>
      <c r="I23">
        <v>1.4109999999999999E-2</v>
      </c>
      <c r="J23">
        <v>0.27474999999999999</v>
      </c>
      <c r="K23">
        <v>0.34310000000000002</v>
      </c>
      <c r="L23">
        <v>9.9729999999999999E-2</v>
      </c>
      <c r="M23">
        <v>7.4990000000000001E-2</v>
      </c>
      <c r="N23">
        <v>0.33961000000000002</v>
      </c>
      <c r="O23">
        <v>0.12537999999999999</v>
      </c>
      <c r="P23">
        <v>0.16808999999999999</v>
      </c>
      <c r="Q23">
        <v>0.78971000000000002</v>
      </c>
      <c r="R23">
        <v>0.33579999999999999</v>
      </c>
      <c r="S23">
        <v>0</v>
      </c>
      <c r="T23">
        <v>0.50124999999999997</v>
      </c>
      <c r="U23">
        <v>0.27132000000000001</v>
      </c>
      <c r="V23">
        <f t="shared" si="0"/>
        <v>0.2599225</v>
      </c>
    </row>
    <row r="24" spans="1:22" x14ac:dyDescent="0.3">
      <c r="A24" t="s">
        <v>394</v>
      </c>
      <c r="B24">
        <v>3.1710000000000002E-2</v>
      </c>
      <c r="C24">
        <v>0.15897</v>
      </c>
      <c r="D24">
        <v>1.8880000000000001E-2</v>
      </c>
      <c r="E24">
        <v>4.8399999999999997E-3</v>
      </c>
      <c r="F24">
        <v>0.17272000000000001</v>
      </c>
      <c r="G24">
        <v>0</v>
      </c>
      <c r="H24">
        <v>0.40605000000000002</v>
      </c>
      <c r="I24">
        <v>6.0600000000000003E-3</v>
      </c>
      <c r="J24">
        <v>0.18193000000000001</v>
      </c>
      <c r="K24">
        <v>3.338E-2</v>
      </c>
      <c r="L24">
        <v>0</v>
      </c>
      <c r="M24">
        <v>3.31E-3</v>
      </c>
      <c r="N24">
        <v>8.6370000000000002E-2</v>
      </c>
      <c r="O24">
        <v>1.3834</v>
      </c>
      <c r="P24">
        <v>5.0509999999999999E-2</v>
      </c>
      <c r="Q24">
        <v>0.1298</v>
      </c>
      <c r="R24">
        <v>1.4319</v>
      </c>
      <c r="S24">
        <v>0.18368999999999999</v>
      </c>
      <c r="T24">
        <v>0.13311000000000001</v>
      </c>
      <c r="U24">
        <v>8.94E-3</v>
      </c>
      <c r="V24">
        <f t="shared" si="0"/>
        <v>0.22127850000000002</v>
      </c>
    </row>
    <row r="25" spans="1:22" x14ac:dyDescent="0.3">
      <c r="A25" t="s">
        <v>379</v>
      </c>
      <c r="B25">
        <v>0.34139000000000003</v>
      </c>
      <c r="C25">
        <v>1.7799999999999999E-3</v>
      </c>
      <c r="D25">
        <v>5.0000000000000001E-4</v>
      </c>
      <c r="E25">
        <v>3.0120000000000001E-2</v>
      </c>
      <c r="F25">
        <v>6.4479999999999996E-2</v>
      </c>
      <c r="G25">
        <v>0.48183999999999999</v>
      </c>
      <c r="H25">
        <v>4.8689999999999997E-2</v>
      </c>
      <c r="I25">
        <v>2.7830000000000001E-2</v>
      </c>
      <c r="J25">
        <v>0</v>
      </c>
      <c r="K25">
        <v>3.3829999999999999E-2</v>
      </c>
      <c r="L25">
        <v>0</v>
      </c>
      <c r="M25">
        <v>0</v>
      </c>
      <c r="N25">
        <v>0</v>
      </c>
      <c r="O25">
        <v>7.0299999999999998E-3</v>
      </c>
      <c r="P25">
        <v>3.3999999999999998E-3</v>
      </c>
      <c r="Q25">
        <v>2.1100000000000001E-2</v>
      </c>
      <c r="R25">
        <v>1.095E-2</v>
      </c>
      <c r="S25">
        <v>2.5517300000000001</v>
      </c>
      <c r="T25">
        <v>0</v>
      </c>
      <c r="U25">
        <v>2.2200000000000002E-3</v>
      </c>
      <c r="V25">
        <f t="shared" si="0"/>
        <v>0.18134449999999999</v>
      </c>
    </row>
    <row r="26" spans="1:22" x14ac:dyDescent="0.3">
      <c r="A26" t="s">
        <v>378</v>
      </c>
      <c r="B26">
        <v>0</v>
      </c>
      <c r="C26">
        <v>0</v>
      </c>
      <c r="D26">
        <v>0.21493999999999999</v>
      </c>
      <c r="E26">
        <v>1.686E-2</v>
      </c>
      <c r="F26">
        <v>1.6170100000000001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3.9329999999999997E-2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0.63737999999999995</v>
      </c>
      <c r="U26">
        <v>0</v>
      </c>
      <c r="V26">
        <f t="shared" si="0"/>
        <v>0.126276</v>
      </c>
    </row>
    <row r="27" spans="1:22" x14ac:dyDescent="0.3">
      <c r="A27" t="s">
        <v>395</v>
      </c>
      <c r="B27">
        <v>2.4299999999999999E-3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2.6199999999999999E-3</v>
      </c>
      <c r="J27">
        <v>1.9800899999999999</v>
      </c>
      <c r="K27">
        <v>0</v>
      </c>
      <c r="L27">
        <v>0</v>
      </c>
      <c r="M27">
        <v>0.42920000000000003</v>
      </c>
      <c r="N27">
        <v>2.4250000000000001E-2</v>
      </c>
      <c r="O27">
        <v>0</v>
      </c>
      <c r="P27">
        <v>0</v>
      </c>
      <c r="Q27">
        <v>0</v>
      </c>
      <c r="R27">
        <v>3.8980000000000001E-2</v>
      </c>
      <c r="S27">
        <v>0</v>
      </c>
      <c r="T27">
        <v>0</v>
      </c>
      <c r="U27">
        <v>1.2710000000000001E-2</v>
      </c>
      <c r="V27">
        <f t="shared" si="0"/>
        <v>0.12451400000000001</v>
      </c>
    </row>
    <row r="28" spans="1:22" x14ac:dyDescent="0.3">
      <c r="A28" t="s">
        <v>405</v>
      </c>
      <c r="B28">
        <v>2.1749999999999999E-2</v>
      </c>
      <c r="C28">
        <v>3.0300000000000001E-3</v>
      </c>
      <c r="D28">
        <v>0</v>
      </c>
      <c r="E28">
        <v>9.8100000000000007E-2</v>
      </c>
      <c r="F28">
        <v>7.8299999999999995E-2</v>
      </c>
      <c r="G28">
        <v>2.49E-3</v>
      </c>
      <c r="H28">
        <v>3.4569999999999997E-2</v>
      </c>
      <c r="I28">
        <v>9.9449999999999997E-2</v>
      </c>
      <c r="J28">
        <v>0.1134</v>
      </c>
      <c r="K28">
        <v>0.52576999999999996</v>
      </c>
      <c r="L28">
        <v>0</v>
      </c>
      <c r="M28">
        <v>1.265E-2</v>
      </c>
      <c r="N28">
        <v>4.215E-2</v>
      </c>
      <c r="O28">
        <v>8.831E-2</v>
      </c>
      <c r="P28">
        <v>4.036E-2</v>
      </c>
      <c r="Q28">
        <v>0.22165000000000001</v>
      </c>
      <c r="R28">
        <v>2.3029999999999998E-2</v>
      </c>
      <c r="S28">
        <v>1.1299999999999999E-3</v>
      </c>
      <c r="T28">
        <v>4.9059999999999999E-2</v>
      </c>
      <c r="U28">
        <v>0.10625</v>
      </c>
      <c r="V28">
        <f t="shared" si="0"/>
        <v>7.8072500000000017E-2</v>
      </c>
    </row>
    <row r="29" spans="1:22" x14ac:dyDescent="0.3">
      <c r="A29" t="s">
        <v>410</v>
      </c>
      <c r="B29">
        <v>5.2700000000000004E-3</v>
      </c>
      <c r="C29">
        <v>0</v>
      </c>
      <c r="D29">
        <v>0</v>
      </c>
      <c r="E29">
        <v>3.2509999999999997E-2</v>
      </c>
      <c r="F29">
        <v>0</v>
      </c>
      <c r="G29">
        <v>0</v>
      </c>
      <c r="H29">
        <v>0</v>
      </c>
      <c r="I29">
        <v>0</v>
      </c>
      <c r="J29">
        <v>0</v>
      </c>
      <c r="K29">
        <v>0.94608000000000003</v>
      </c>
      <c r="L29">
        <v>0</v>
      </c>
      <c r="M29">
        <v>0</v>
      </c>
      <c r="N29">
        <v>0</v>
      </c>
      <c r="O29">
        <v>0</v>
      </c>
      <c r="P29">
        <v>0</v>
      </c>
      <c r="Q29">
        <v>5.1599999999999997E-3</v>
      </c>
      <c r="R29">
        <v>8.9690000000000006E-2</v>
      </c>
      <c r="S29">
        <v>1.0880000000000001E-2</v>
      </c>
      <c r="T29">
        <v>0</v>
      </c>
      <c r="U29">
        <v>0</v>
      </c>
      <c r="V29">
        <f t="shared" si="0"/>
        <v>5.44795E-2</v>
      </c>
    </row>
    <row r="30" spans="1:22" x14ac:dyDescent="0.3">
      <c r="A30" t="s">
        <v>390</v>
      </c>
      <c r="B30">
        <v>4.6299999999999996E-3</v>
      </c>
      <c r="C30">
        <v>0.12457</v>
      </c>
      <c r="D30">
        <v>4.1599999999999996E-3</v>
      </c>
      <c r="E30">
        <v>2.461E-2</v>
      </c>
      <c r="F30">
        <v>1.4400000000000001E-3</v>
      </c>
      <c r="G30">
        <v>0.22119</v>
      </c>
      <c r="H30">
        <v>4.709E-2</v>
      </c>
      <c r="I30">
        <v>0.15504999999999999</v>
      </c>
      <c r="J30">
        <v>0</v>
      </c>
      <c r="K30">
        <v>0.21115999999999999</v>
      </c>
      <c r="L30">
        <v>6.275E-2</v>
      </c>
      <c r="M30">
        <v>5.0770000000000003E-2</v>
      </c>
      <c r="N30">
        <v>3.8859999999999999E-2</v>
      </c>
      <c r="O30">
        <v>0</v>
      </c>
      <c r="P30">
        <v>3.0400000000000002E-3</v>
      </c>
      <c r="Q30">
        <v>4.7480000000000001E-2</v>
      </c>
      <c r="R30">
        <v>5.3019999999999998E-2</v>
      </c>
      <c r="S30">
        <v>7.5300000000000002E-3</v>
      </c>
      <c r="T30">
        <v>3.9699999999999996E-3</v>
      </c>
      <c r="U30">
        <v>9.8200000000000006E-3</v>
      </c>
      <c r="V30">
        <f t="shared" si="0"/>
        <v>5.3557E-2</v>
      </c>
    </row>
    <row r="31" spans="1:22" x14ac:dyDescent="0.3">
      <c r="A31" t="s">
        <v>408</v>
      </c>
      <c r="B31">
        <v>0</v>
      </c>
      <c r="C31">
        <v>4.3979999999999998E-2</v>
      </c>
      <c r="D31">
        <v>2.32E-3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6.5750000000000003E-2</v>
      </c>
      <c r="L31">
        <v>7.9769999999999994E-2</v>
      </c>
      <c r="M31">
        <v>0</v>
      </c>
      <c r="N31">
        <v>0</v>
      </c>
      <c r="O31">
        <v>0</v>
      </c>
      <c r="P31">
        <v>0</v>
      </c>
      <c r="Q31">
        <v>0</v>
      </c>
      <c r="R31">
        <v>6.5570000000000003E-2</v>
      </c>
      <c r="S31">
        <v>0.74565000000000003</v>
      </c>
      <c r="T31">
        <v>4.2560000000000001E-2</v>
      </c>
      <c r="U31">
        <v>0</v>
      </c>
      <c r="V31">
        <f t="shared" si="0"/>
        <v>5.2279999999999993E-2</v>
      </c>
    </row>
    <row r="32" spans="1:22" x14ac:dyDescent="0.3">
      <c r="A32" t="s">
        <v>411</v>
      </c>
      <c r="B32">
        <v>0.92901</v>
      </c>
      <c r="C32">
        <v>0</v>
      </c>
      <c r="D32">
        <v>0</v>
      </c>
      <c r="E32">
        <v>0</v>
      </c>
      <c r="F32">
        <v>1.81E-3</v>
      </c>
      <c r="G32">
        <v>0</v>
      </c>
      <c r="H32">
        <v>0</v>
      </c>
      <c r="I32">
        <v>1.291E-2</v>
      </c>
      <c r="J32">
        <v>0</v>
      </c>
      <c r="K32">
        <v>0</v>
      </c>
      <c r="L32">
        <v>1.2899999999999999E-3</v>
      </c>
      <c r="M32">
        <v>2.2899999999999999E-3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5.0369999999999998E-2</v>
      </c>
      <c r="V32">
        <f t="shared" si="0"/>
        <v>4.9883999999999998E-2</v>
      </c>
    </row>
    <row r="33" spans="1:22" x14ac:dyDescent="0.3">
      <c r="A33" t="s">
        <v>380</v>
      </c>
      <c r="B33">
        <v>6.0200000000000002E-3</v>
      </c>
      <c r="C33">
        <v>0</v>
      </c>
      <c r="D33">
        <v>0</v>
      </c>
      <c r="E33">
        <v>0</v>
      </c>
      <c r="F33">
        <v>7.2969999999999993E-2</v>
      </c>
      <c r="G33">
        <v>3.5899999999999999E-3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3.2699999999999999E-3</v>
      </c>
      <c r="Q33">
        <v>5.2179999999999997E-2</v>
      </c>
      <c r="R33">
        <v>1.8600000000000001E-3</v>
      </c>
      <c r="S33">
        <v>0.64154</v>
      </c>
      <c r="T33">
        <v>3.7100000000000002E-3</v>
      </c>
      <c r="U33">
        <v>0</v>
      </c>
      <c r="V33">
        <f t="shared" si="0"/>
        <v>3.9257E-2</v>
      </c>
    </row>
    <row r="34" spans="1:22" x14ac:dyDescent="0.3">
      <c r="A34" t="s">
        <v>386</v>
      </c>
      <c r="B34">
        <v>0</v>
      </c>
      <c r="C34">
        <v>2.1520000000000001E-2</v>
      </c>
      <c r="D34">
        <v>1.25E-3</v>
      </c>
      <c r="E34">
        <v>0.10874</v>
      </c>
      <c r="F34">
        <v>0.12177</v>
      </c>
      <c r="G34">
        <v>0</v>
      </c>
      <c r="H34">
        <v>0</v>
      </c>
      <c r="I34">
        <v>0</v>
      </c>
      <c r="J34">
        <v>2.9299999999999999E-3</v>
      </c>
      <c r="K34">
        <v>3.6830000000000002E-2</v>
      </c>
      <c r="L34">
        <v>0</v>
      </c>
      <c r="M34">
        <v>4.163E-2</v>
      </c>
      <c r="N34">
        <v>7.2470000000000007E-2</v>
      </c>
      <c r="O34">
        <v>3.252E-2</v>
      </c>
      <c r="P34">
        <v>9.4299999999999991E-3</v>
      </c>
      <c r="Q34">
        <v>2.3869999999999999E-2</v>
      </c>
      <c r="R34">
        <v>2.1530000000000001E-2</v>
      </c>
      <c r="S34">
        <v>1.7510000000000001E-2</v>
      </c>
      <c r="T34">
        <v>5.0200000000000002E-3</v>
      </c>
      <c r="U34">
        <v>5.5000000000000003E-4</v>
      </c>
      <c r="V34">
        <f t="shared" ref="V34:V59" si="1">AVERAGE(B34:U34)</f>
        <v>2.5878499999999999E-2</v>
      </c>
    </row>
    <row r="35" spans="1:22" x14ac:dyDescent="0.3">
      <c r="A35" t="s">
        <v>400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0.10352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0.12553</v>
      </c>
      <c r="U35">
        <v>4.8599999999999997E-2</v>
      </c>
      <c r="V35">
        <f t="shared" si="1"/>
        <v>1.3882500000000001E-2</v>
      </c>
    </row>
    <row r="36" spans="1:22" x14ac:dyDescent="0.3">
      <c r="A36" t="s">
        <v>361</v>
      </c>
      <c r="B36">
        <v>3.4399999999999999E-3</v>
      </c>
      <c r="C36">
        <v>8.1700000000000002E-3</v>
      </c>
      <c r="D36">
        <v>1.4400000000000001E-3</v>
      </c>
      <c r="E36">
        <v>0</v>
      </c>
      <c r="F36">
        <v>1.7899999999999999E-3</v>
      </c>
      <c r="G36">
        <v>0</v>
      </c>
      <c r="H36">
        <v>0</v>
      </c>
      <c r="I36">
        <v>0</v>
      </c>
      <c r="J36">
        <v>2.9099999999999998E-3</v>
      </c>
      <c r="K36">
        <v>0</v>
      </c>
      <c r="L36">
        <v>2.76E-2</v>
      </c>
      <c r="M36">
        <v>0</v>
      </c>
      <c r="N36">
        <v>0</v>
      </c>
      <c r="O36">
        <v>6.4000000000000005E-4</v>
      </c>
      <c r="P36">
        <v>0</v>
      </c>
      <c r="Q36">
        <v>0.10314</v>
      </c>
      <c r="R36">
        <v>4.8799999999999998E-3</v>
      </c>
      <c r="S36">
        <v>4.1689999999999998E-2</v>
      </c>
      <c r="T36">
        <v>1.6469999999999999E-2</v>
      </c>
      <c r="U36">
        <v>2.605E-2</v>
      </c>
      <c r="V36">
        <f t="shared" si="1"/>
        <v>1.1910999999999998E-2</v>
      </c>
    </row>
    <row r="37" spans="1:22" x14ac:dyDescent="0.3">
      <c r="A37" t="s">
        <v>397</v>
      </c>
      <c r="B37">
        <v>5.3990000000000003E-2</v>
      </c>
      <c r="C37">
        <v>0</v>
      </c>
      <c r="D37">
        <v>0</v>
      </c>
      <c r="E37">
        <v>1.523E-2</v>
      </c>
      <c r="F37">
        <v>0</v>
      </c>
      <c r="G37">
        <v>0</v>
      </c>
      <c r="H37">
        <v>0</v>
      </c>
      <c r="I37">
        <v>9.733E-2</v>
      </c>
      <c r="J37">
        <v>0</v>
      </c>
      <c r="K37">
        <v>0</v>
      </c>
      <c r="L37">
        <v>4.265E-2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1"/>
        <v>1.0460000000000001E-2</v>
      </c>
    </row>
    <row r="38" spans="1:22" x14ac:dyDescent="0.3">
      <c r="A38" t="s">
        <v>403</v>
      </c>
      <c r="B38">
        <v>0.14663999999999999</v>
      </c>
      <c r="C38">
        <v>0</v>
      </c>
      <c r="D38">
        <v>0</v>
      </c>
      <c r="E38">
        <v>5.876E-2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1.97E-3</v>
      </c>
      <c r="S38">
        <v>0</v>
      </c>
      <c r="T38">
        <v>0</v>
      </c>
      <c r="U38">
        <v>0</v>
      </c>
      <c r="V38">
        <f t="shared" si="1"/>
        <v>1.0368499999999999E-2</v>
      </c>
    </row>
    <row r="39" spans="1:22" x14ac:dyDescent="0.3">
      <c r="A39" t="s">
        <v>359</v>
      </c>
      <c r="B39">
        <v>4.156E-2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0.14788000000000001</v>
      </c>
      <c r="J39">
        <v>0</v>
      </c>
      <c r="K39">
        <v>0</v>
      </c>
      <c r="L39">
        <v>1.0449999999999999E-2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1"/>
        <v>9.9944999999999999E-3</v>
      </c>
    </row>
    <row r="40" spans="1:22" x14ac:dyDescent="0.3">
      <c r="A40" t="s">
        <v>385</v>
      </c>
      <c r="B40">
        <v>1.452E-2</v>
      </c>
      <c r="C40">
        <v>0</v>
      </c>
      <c r="D40">
        <v>9.8300000000000002E-3</v>
      </c>
      <c r="E40">
        <v>3.0000000000000001E-3</v>
      </c>
      <c r="F40">
        <v>0</v>
      </c>
      <c r="G40">
        <v>0</v>
      </c>
      <c r="H40">
        <v>0</v>
      </c>
      <c r="I40">
        <v>1.261E-2</v>
      </c>
      <c r="J40">
        <v>0</v>
      </c>
      <c r="K40">
        <v>2.5699999999999998E-3</v>
      </c>
      <c r="L40">
        <v>2.5999999999999998E-4</v>
      </c>
      <c r="M40">
        <v>0</v>
      </c>
      <c r="N40">
        <v>0</v>
      </c>
      <c r="O40">
        <v>0</v>
      </c>
      <c r="P40">
        <v>0</v>
      </c>
      <c r="Q40">
        <v>9.1900000000000003E-3</v>
      </c>
      <c r="R40">
        <v>0</v>
      </c>
      <c r="S40">
        <v>9.2090000000000005E-2</v>
      </c>
      <c r="T40">
        <v>5.9999999999999995E-4</v>
      </c>
      <c r="U40">
        <v>0</v>
      </c>
      <c r="V40">
        <f t="shared" si="1"/>
        <v>7.2334999999999995E-3</v>
      </c>
    </row>
    <row r="41" spans="1:22" x14ac:dyDescent="0.3">
      <c r="A41" t="s">
        <v>399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6.0429999999999998E-2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5.7349999999999998E-2</v>
      </c>
      <c r="U41">
        <v>2.0480000000000002E-2</v>
      </c>
      <c r="V41">
        <f t="shared" si="1"/>
        <v>6.9129999999999999E-3</v>
      </c>
    </row>
    <row r="42" spans="1:22" x14ac:dyDescent="0.3">
      <c r="A42" t="s">
        <v>362</v>
      </c>
      <c r="B42">
        <v>3.4759999999999999E-2</v>
      </c>
      <c r="C42">
        <v>3.2579999999999998E-2</v>
      </c>
      <c r="D42">
        <v>1.461E-2</v>
      </c>
      <c r="E42">
        <v>2.4629999999999999E-2</v>
      </c>
      <c r="F42">
        <v>0</v>
      </c>
      <c r="G42">
        <v>0</v>
      </c>
      <c r="H42">
        <v>2.2300000000000002E-3</v>
      </c>
      <c r="I42">
        <v>5.0000000000000001E-4</v>
      </c>
      <c r="J42">
        <v>0</v>
      </c>
      <c r="K42">
        <v>1.8E-3</v>
      </c>
      <c r="L42">
        <v>0</v>
      </c>
      <c r="M42">
        <v>0</v>
      </c>
      <c r="N42">
        <v>0</v>
      </c>
      <c r="O42">
        <v>0</v>
      </c>
      <c r="P42">
        <v>0</v>
      </c>
      <c r="Q42">
        <v>1.06E-3</v>
      </c>
      <c r="R42">
        <v>1.013E-2</v>
      </c>
      <c r="S42">
        <v>3.4399999999999999E-3</v>
      </c>
      <c r="T42">
        <v>4.6800000000000001E-3</v>
      </c>
      <c r="U42">
        <v>0</v>
      </c>
      <c r="V42">
        <f t="shared" si="1"/>
        <v>6.520999999999999E-3</v>
      </c>
    </row>
    <row r="43" spans="1:22" x14ac:dyDescent="0.3">
      <c r="A43" t="s">
        <v>409</v>
      </c>
      <c r="B43">
        <v>0.11819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1"/>
        <v>5.9094999999999998E-3</v>
      </c>
    </row>
    <row r="44" spans="1:22" x14ac:dyDescent="0.3">
      <c r="A44" t="s">
        <v>358</v>
      </c>
      <c r="B44">
        <v>2.0109999999999999E-2</v>
      </c>
      <c r="C44">
        <v>0</v>
      </c>
      <c r="D44">
        <v>0</v>
      </c>
      <c r="E44">
        <v>2.9099999999999998E-3</v>
      </c>
      <c r="F44">
        <v>5.1000000000000004E-4</v>
      </c>
      <c r="G44">
        <v>8.2199999999999999E-3</v>
      </c>
      <c r="H44">
        <v>1.7799999999999999E-3</v>
      </c>
      <c r="I44">
        <v>1.1990000000000001E-2</v>
      </c>
      <c r="J44">
        <v>0</v>
      </c>
      <c r="K44">
        <v>3.3600000000000001E-3</v>
      </c>
      <c r="L44">
        <v>0</v>
      </c>
      <c r="M44">
        <v>0</v>
      </c>
      <c r="N44">
        <v>0</v>
      </c>
      <c r="O44">
        <v>0</v>
      </c>
      <c r="P44">
        <v>0</v>
      </c>
      <c r="Q44">
        <v>3.5500000000000002E-3</v>
      </c>
      <c r="R44">
        <v>0</v>
      </c>
      <c r="S44">
        <v>7.0699999999999999E-3</v>
      </c>
      <c r="T44">
        <v>0</v>
      </c>
      <c r="U44">
        <v>5.1399999999999996E-3</v>
      </c>
      <c r="V44">
        <f t="shared" si="1"/>
        <v>3.2320000000000001E-3</v>
      </c>
    </row>
    <row r="45" spans="1:22" x14ac:dyDescent="0.3">
      <c r="A45" t="s">
        <v>382</v>
      </c>
      <c r="B45">
        <v>5.2540000000000003E-2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1.057E-2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1.16E-3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1"/>
        <v>3.2134999999999998E-3</v>
      </c>
    </row>
    <row r="46" spans="1:22" x14ac:dyDescent="0.3">
      <c r="A46" t="s">
        <v>370</v>
      </c>
      <c r="B46">
        <v>5.6270000000000001E-2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1.3699999999999999E-3</v>
      </c>
      <c r="L46">
        <v>1.4400000000000001E-3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1"/>
        <v>2.954E-3</v>
      </c>
    </row>
    <row r="47" spans="1:22" x14ac:dyDescent="0.3">
      <c r="A47" t="s">
        <v>374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4.7410000000000001E-2</v>
      </c>
      <c r="R47">
        <v>0</v>
      </c>
      <c r="S47">
        <v>0</v>
      </c>
      <c r="T47">
        <v>0</v>
      </c>
      <c r="U47">
        <v>0</v>
      </c>
      <c r="V47">
        <f t="shared" si="1"/>
        <v>2.3705000000000002E-3</v>
      </c>
    </row>
    <row r="48" spans="1:22" x14ac:dyDescent="0.3">
      <c r="A48" t="s">
        <v>412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4.3090000000000003E-2</v>
      </c>
      <c r="S48">
        <v>0</v>
      </c>
      <c r="T48">
        <v>0</v>
      </c>
      <c r="U48">
        <v>0</v>
      </c>
      <c r="V48">
        <f t="shared" si="1"/>
        <v>2.1545000000000002E-3</v>
      </c>
    </row>
    <row r="49" spans="1:22" x14ac:dyDescent="0.3">
      <c r="A49" t="s">
        <v>363</v>
      </c>
      <c r="B49">
        <v>4.0400000000000002E-3</v>
      </c>
      <c r="C49">
        <v>0</v>
      </c>
      <c r="D49">
        <v>0</v>
      </c>
      <c r="E49">
        <v>4.5500000000000002E-3</v>
      </c>
      <c r="F49">
        <v>0</v>
      </c>
      <c r="G49">
        <v>0</v>
      </c>
      <c r="H49">
        <v>0</v>
      </c>
      <c r="I49">
        <v>6.5599999999999999E-3</v>
      </c>
      <c r="J49">
        <v>0</v>
      </c>
      <c r="K49">
        <v>0</v>
      </c>
      <c r="L49">
        <v>7.1999999999999998E-3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4.9800000000000001E-3</v>
      </c>
      <c r="T49">
        <v>4.9800000000000001E-3</v>
      </c>
      <c r="U49">
        <v>0</v>
      </c>
      <c r="V49">
        <f t="shared" si="1"/>
        <v>1.6155E-3</v>
      </c>
    </row>
    <row r="50" spans="1:22" x14ac:dyDescent="0.3">
      <c r="A50" t="s">
        <v>377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3.0500000000000002E-3</v>
      </c>
      <c r="P50">
        <v>0</v>
      </c>
      <c r="Q50">
        <v>0</v>
      </c>
      <c r="R50">
        <v>0</v>
      </c>
      <c r="S50">
        <v>0</v>
      </c>
      <c r="T50">
        <v>2.1829999999999999E-2</v>
      </c>
      <c r="U50">
        <v>5.5900000000000004E-3</v>
      </c>
      <c r="V50">
        <f t="shared" si="1"/>
        <v>1.5235000000000001E-3</v>
      </c>
    </row>
    <row r="51" spans="1:22" x14ac:dyDescent="0.3">
      <c r="A51" t="s">
        <v>383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4.1900000000000001E-3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1.5299999999999999E-3</v>
      </c>
      <c r="Q51">
        <v>5.2399999999999999E-3</v>
      </c>
      <c r="R51">
        <v>0</v>
      </c>
      <c r="S51">
        <v>0</v>
      </c>
      <c r="T51">
        <v>1.2699999999999999E-2</v>
      </c>
      <c r="U51">
        <v>1.9599999999999999E-3</v>
      </c>
      <c r="V51">
        <f t="shared" si="1"/>
        <v>1.281E-3</v>
      </c>
    </row>
    <row r="52" spans="1:22" x14ac:dyDescent="0.3">
      <c r="A52" t="s">
        <v>367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9.92E-3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1"/>
        <v>4.9600000000000002E-4</v>
      </c>
    </row>
    <row r="53" spans="1:22" x14ac:dyDescent="0.3">
      <c r="A53" t="s">
        <v>398</v>
      </c>
      <c r="B53">
        <v>6.8700000000000002E-3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1"/>
        <v>3.435E-4</v>
      </c>
    </row>
    <row r="54" spans="1:22" x14ac:dyDescent="0.3">
      <c r="A54" t="s">
        <v>401</v>
      </c>
      <c r="B54">
        <v>0</v>
      </c>
      <c r="C54">
        <v>0</v>
      </c>
      <c r="D54">
        <v>0</v>
      </c>
      <c r="E54">
        <v>1.8600000000000001E-3</v>
      </c>
      <c r="F54">
        <v>0</v>
      </c>
      <c r="G54">
        <v>0</v>
      </c>
      <c r="H54">
        <v>4.0999999999999999E-4</v>
      </c>
      <c r="I54">
        <v>0</v>
      </c>
      <c r="J54">
        <v>0</v>
      </c>
      <c r="K54">
        <v>2.99E-3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1.3699999999999999E-3</v>
      </c>
      <c r="U54">
        <v>0</v>
      </c>
      <c r="V54">
        <f t="shared" si="1"/>
        <v>3.3150000000000003E-4</v>
      </c>
    </row>
    <row r="55" spans="1:22" x14ac:dyDescent="0.3">
      <c r="A55" t="s">
        <v>406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6.4400000000000004E-3</v>
      </c>
      <c r="T55">
        <v>0</v>
      </c>
      <c r="U55">
        <v>0</v>
      </c>
      <c r="V55">
        <f t="shared" si="1"/>
        <v>3.2200000000000002E-4</v>
      </c>
    </row>
    <row r="56" spans="1:22" x14ac:dyDescent="0.3">
      <c r="A56" t="s">
        <v>376</v>
      </c>
      <c r="B56">
        <v>9.7000000000000005E-4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5.2500000000000003E-3</v>
      </c>
      <c r="T56">
        <v>0</v>
      </c>
      <c r="U56">
        <v>0</v>
      </c>
      <c r="V56">
        <f t="shared" si="1"/>
        <v>3.1100000000000002E-4</v>
      </c>
    </row>
    <row r="57" spans="1:22" x14ac:dyDescent="0.3">
      <c r="A57" t="s">
        <v>375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3.9100000000000003E-3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1"/>
        <v>1.9550000000000001E-4</v>
      </c>
    </row>
    <row r="58" spans="1:22" x14ac:dyDescent="0.3">
      <c r="A58" t="s">
        <v>360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2.5899999999999999E-3</v>
      </c>
      <c r="R58">
        <v>0</v>
      </c>
      <c r="S58">
        <v>0</v>
      </c>
      <c r="T58">
        <v>0</v>
      </c>
      <c r="U58">
        <v>0</v>
      </c>
      <c r="V58">
        <f t="shared" si="1"/>
        <v>1.295E-4</v>
      </c>
    </row>
    <row r="59" spans="1:22" x14ac:dyDescent="0.3">
      <c r="A59" t="s">
        <v>402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1.6199999999999999E-3</v>
      </c>
      <c r="R59">
        <v>0</v>
      </c>
      <c r="S59">
        <v>0</v>
      </c>
      <c r="T59">
        <v>0</v>
      </c>
      <c r="U59">
        <v>0</v>
      </c>
      <c r="V59">
        <f t="shared" si="1"/>
        <v>8.099999999999999E-5</v>
      </c>
    </row>
  </sheetData>
  <phoneticPr fontId="1" type="noConversion"/>
  <conditionalFormatting sqref="A1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710D-7624-4795-BEA0-6F6F7EE1A330}">
  <dimension ref="A1:Y21"/>
  <sheetViews>
    <sheetView workbookViewId="0">
      <selection activeCell="Y1" sqref="Y1"/>
    </sheetView>
  </sheetViews>
  <sheetFormatPr defaultRowHeight="14" x14ac:dyDescent="0.3"/>
  <sheetData>
    <row r="1" spans="1:25" s="3" customFormat="1" x14ac:dyDescent="0.3">
      <c r="A1" s="3" t="s">
        <v>529</v>
      </c>
      <c r="B1" s="3" t="s">
        <v>373</v>
      </c>
      <c r="C1" s="3" t="s">
        <v>394</v>
      </c>
      <c r="D1" s="3" t="s">
        <v>395</v>
      </c>
      <c r="E1" s="3" t="s">
        <v>392</v>
      </c>
      <c r="F1" s="3" t="s">
        <v>379</v>
      </c>
      <c r="G1" s="3" t="s">
        <v>404</v>
      </c>
      <c r="H1" s="3" t="s">
        <v>356</v>
      </c>
      <c r="I1" s="3" t="s">
        <v>365</v>
      </c>
      <c r="J1" s="3" t="s">
        <v>396</v>
      </c>
      <c r="K1" s="3" t="s">
        <v>413</v>
      </c>
      <c r="L1" s="3" t="s">
        <v>372</v>
      </c>
      <c r="M1" s="3" t="s">
        <v>389</v>
      </c>
      <c r="N1" s="3" t="s">
        <v>381</v>
      </c>
      <c r="O1" s="3" t="s">
        <v>384</v>
      </c>
      <c r="P1" s="3" t="s">
        <v>407</v>
      </c>
      <c r="Q1" s="3" t="s">
        <v>364</v>
      </c>
      <c r="R1" s="3" t="s">
        <v>393</v>
      </c>
      <c r="S1" s="3" t="s">
        <v>387</v>
      </c>
      <c r="T1" s="3" t="s">
        <v>366</v>
      </c>
      <c r="U1" s="3" t="s">
        <v>371</v>
      </c>
      <c r="V1" s="3" t="s">
        <v>391</v>
      </c>
      <c r="W1" s="3" t="s">
        <v>357</v>
      </c>
      <c r="X1" s="3" t="s">
        <v>388</v>
      </c>
      <c r="Y1" s="3" t="s">
        <v>0</v>
      </c>
    </row>
    <row r="2" spans="1:25" s="3" customFormat="1" x14ac:dyDescent="0.3">
      <c r="A2" s="3">
        <v>5.2465299999999999</v>
      </c>
      <c r="L2" s="3">
        <v>6.8725100000000001</v>
      </c>
      <c r="M2" s="3">
        <v>2.5170699999999999</v>
      </c>
      <c r="O2" s="3">
        <v>4.3794500000000003</v>
      </c>
      <c r="R2" s="3">
        <v>3.2852399999999999</v>
      </c>
      <c r="S2" s="3">
        <v>10.21083</v>
      </c>
      <c r="T2" s="3">
        <v>21.47129</v>
      </c>
      <c r="U2" s="3">
        <v>1.53328</v>
      </c>
      <c r="V2" s="3">
        <v>17.178059999999999</v>
      </c>
      <c r="W2" s="3">
        <v>4.1605100000000004</v>
      </c>
      <c r="X2" s="3">
        <v>23.145230000000002</v>
      </c>
      <c r="Y2" s="3" t="s">
        <v>530</v>
      </c>
    </row>
    <row r="3" spans="1:25" s="3" customFormat="1" x14ac:dyDescent="0.3">
      <c r="A3" s="3">
        <v>5.0060000000000002</v>
      </c>
      <c r="H3" s="3">
        <v>4.7315500000000004</v>
      </c>
      <c r="M3" s="3">
        <v>6.6286399999999999</v>
      </c>
      <c r="O3" s="3">
        <v>2.2728799999999998</v>
      </c>
      <c r="Q3" s="3">
        <v>11.35238</v>
      </c>
      <c r="S3" s="3">
        <v>5.3393800000000002</v>
      </c>
      <c r="T3" s="3">
        <v>3.60745</v>
      </c>
      <c r="U3" s="3">
        <v>2.5876399999999999</v>
      </c>
      <c r="V3" s="3">
        <v>6.7978899999999998</v>
      </c>
      <c r="W3" s="3">
        <v>13.51779</v>
      </c>
      <c r="X3" s="3">
        <v>38.1584</v>
      </c>
      <c r="Y3" s="3" t="s">
        <v>531</v>
      </c>
    </row>
    <row r="4" spans="1:25" s="3" customFormat="1" x14ac:dyDescent="0.3">
      <c r="A4" s="3">
        <v>2.3846799999999999</v>
      </c>
      <c r="E4" s="3">
        <v>0.50327999999999995</v>
      </c>
      <c r="I4" s="3">
        <v>0.62782000000000004</v>
      </c>
      <c r="K4" s="3">
        <v>6.2485200000000001</v>
      </c>
      <c r="Q4" s="3">
        <v>12.200609999999999</v>
      </c>
      <c r="R4" s="3">
        <v>5.5685099999999998</v>
      </c>
      <c r="S4" s="3">
        <v>5.5797400000000001</v>
      </c>
      <c r="T4" s="3">
        <v>0.62929000000000002</v>
      </c>
      <c r="V4" s="3">
        <v>8.4438999999999993</v>
      </c>
      <c r="W4" s="3">
        <v>38.048169999999999</v>
      </c>
      <c r="X4" s="3">
        <v>19.76548</v>
      </c>
      <c r="Y4" s="3" t="s">
        <v>532</v>
      </c>
    </row>
    <row r="5" spans="1:25" s="3" customFormat="1" x14ac:dyDescent="0.3">
      <c r="A5" s="3">
        <v>1.57334</v>
      </c>
      <c r="F5" s="3">
        <v>0.48183999999999999</v>
      </c>
      <c r="I5" s="3">
        <v>1.4220200000000001</v>
      </c>
      <c r="L5" s="3">
        <v>0.85314999999999996</v>
      </c>
      <c r="Q5" s="3">
        <v>2.6807699999999999</v>
      </c>
      <c r="R5" s="3">
        <v>1.8043499999999999</v>
      </c>
      <c r="S5" s="3">
        <v>4.9231199999999999</v>
      </c>
      <c r="T5" s="3">
        <v>1.36077</v>
      </c>
      <c r="V5" s="3">
        <v>16.37528</v>
      </c>
      <c r="W5" s="3">
        <v>60.02957</v>
      </c>
      <c r="X5" s="3">
        <v>8.4957899999999995</v>
      </c>
      <c r="Y5" s="3" t="s">
        <v>533</v>
      </c>
    </row>
    <row r="6" spans="1:25" s="3" customFormat="1" x14ac:dyDescent="0.3">
      <c r="A6" s="3">
        <v>9.5882000000000005</v>
      </c>
      <c r="L6" s="3">
        <v>2.2475499999999999</v>
      </c>
      <c r="M6" s="3">
        <v>3.1090599999999999</v>
      </c>
      <c r="P6" s="3">
        <v>2.4547400000000001</v>
      </c>
      <c r="Q6" s="3">
        <v>1.6696599999999999</v>
      </c>
      <c r="R6" s="3">
        <v>4.6786199999999996</v>
      </c>
      <c r="S6" s="3">
        <v>4.5565899999999999</v>
      </c>
      <c r="T6" s="3">
        <v>19.97672</v>
      </c>
      <c r="V6" s="3">
        <v>13.544280000000001</v>
      </c>
      <c r="W6" s="3">
        <v>22.1325</v>
      </c>
      <c r="X6" s="3">
        <v>16.042079999999999</v>
      </c>
      <c r="Y6" s="3" t="s">
        <v>534</v>
      </c>
    </row>
    <row r="7" spans="1:25" s="3" customFormat="1" x14ac:dyDescent="0.3">
      <c r="A7" s="3">
        <v>3.4311699999999998</v>
      </c>
      <c r="I7" s="3">
        <v>1.7004999999999999</v>
      </c>
      <c r="L7" s="3">
        <v>4.9220199999999998</v>
      </c>
      <c r="M7" s="3">
        <v>3.2668599999999999</v>
      </c>
      <c r="O7" s="3">
        <v>3.9751699999999999</v>
      </c>
      <c r="R7" s="3">
        <v>4.9848800000000004</v>
      </c>
      <c r="S7" s="3">
        <v>2.2439900000000002</v>
      </c>
      <c r="T7" s="3">
        <v>6.6741999999999999</v>
      </c>
      <c r="V7" s="3">
        <v>12.88696</v>
      </c>
      <c r="W7" s="3">
        <v>39.017650000000003</v>
      </c>
      <c r="X7" s="3">
        <v>16.896599999999999</v>
      </c>
      <c r="Y7" s="3" t="s">
        <v>535</v>
      </c>
    </row>
    <row r="8" spans="1:25" s="3" customFormat="1" x14ac:dyDescent="0.3">
      <c r="A8" s="3">
        <v>2.26355</v>
      </c>
      <c r="L8" s="3">
        <v>0.86429999999999996</v>
      </c>
      <c r="P8" s="3">
        <v>4.4162800000000004</v>
      </c>
      <c r="Q8" s="3">
        <v>5.1007699999999998</v>
      </c>
      <c r="R8" s="3">
        <v>1.19641</v>
      </c>
      <c r="S8" s="3">
        <v>1.0746500000000001</v>
      </c>
      <c r="T8" s="3">
        <v>2.19204</v>
      </c>
      <c r="U8" s="3">
        <v>1.7433099999999999</v>
      </c>
      <c r="V8" s="3">
        <v>3.3525200000000002</v>
      </c>
      <c r="W8" s="3">
        <v>73.178569999999993</v>
      </c>
      <c r="X8" s="3">
        <v>4.6176000000000004</v>
      </c>
      <c r="Y8" s="3" t="s">
        <v>536</v>
      </c>
    </row>
    <row r="9" spans="1:25" s="3" customFormat="1" x14ac:dyDescent="0.3">
      <c r="A9" s="3">
        <v>7.3460700000000001</v>
      </c>
      <c r="L9" s="3">
        <v>7.9511700000000003</v>
      </c>
      <c r="M9" s="3">
        <v>2.9310399999999999</v>
      </c>
      <c r="O9" s="3">
        <v>3.7571699999999999</v>
      </c>
      <c r="R9" s="3">
        <v>6.3959700000000002</v>
      </c>
      <c r="S9" s="3">
        <v>6.4623900000000001</v>
      </c>
      <c r="T9" s="3">
        <v>5.3715599999999997</v>
      </c>
      <c r="U9" s="3">
        <v>11.550230000000001</v>
      </c>
      <c r="V9" s="3">
        <v>12.60019</v>
      </c>
      <c r="W9" s="3">
        <v>16.072299999999998</v>
      </c>
      <c r="X9" s="3">
        <v>19.561910000000001</v>
      </c>
      <c r="Y9" s="3" t="s">
        <v>537</v>
      </c>
    </row>
    <row r="10" spans="1:25" s="3" customFormat="1" x14ac:dyDescent="0.3">
      <c r="A10" s="3">
        <v>8.2561599999999995</v>
      </c>
      <c r="K10" s="3">
        <v>3.4578700000000002</v>
      </c>
      <c r="L10" s="3">
        <v>3.11849</v>
      </c>
      <c r="M10" s="3">
        <v>11.7834</v>
      </c>
      <c r="N10" s="3">
        <v>11.29542</v>
      </c>
      <c r="Q10" s="3">
        <v>4.7989300000000004</v>
      </c>
      <c r="R10" s="3">
        <v>6.7476799999999999</v>
      </c>
      <c r="T10" s="3">
        <v>3.786</v>
      </c>
      <c r="V10" s="3">
        <v>8.5528999999999993</v>
      </c>
      <c r="W10" s="3">
        <v>27.17014</v>
      </c>
      <c r="X10" s="3">
        <v>11.033010000000001</v>
      </c>
      <c r="Y10" s="3" t="s">
        <v>538</v>
      </c>
    </row>
    <row r="11" spans="1:25" s="3" customFormat="1" x14ac:dyDescent="0.3">
      <c r="A11" s="3">
        <v>6.9235499999999996</v>
      </c>
      <c r="L11" s="3">
        <v>3.5696300000000001</v>
      </c>
      <c r="M11" s="3">
        <v>3.2730700000000001</v>
      </c>
      <c r="O11" s="3">
        <v>5.7851299999999997</v>
      </c>
      <c r="Q11" s="3">
        <v>11.81122</v>
      </c>
      <c r="R11" s="3">
        <v>4.1950099999999999</v>
      </c>
      <c r="T11" s="3">
        <v>5.5977100000000002</v>
      </c>
      <c r="U11" s="3">
        <v>5.4352200000000002</v>
      </c>
      <c r="V11" s="3">
        <v>28.881830000000001</v>
      </c>
      <c r="W11" s="3">
        <v>2.3308200000000001</v>
      </c>
      <c r="X11" s="3">
        <v>22.196809999999999</v>
      </c>
      <c r="Y11" s="3" t="s">
        <v>539</v>
      </c>
    </row>
    <row r="12" spans="1:25" s="3" customFormat="1" x14ac:dyDescent="0.3">
      <c r="A12" s="3">
        <v>12.34023</v>
      </c>
      <c r="I12" s="3">
        <v>2.5140400000000001</v>
      </c>
      <c r="K12" s="3">
        <v>15.3704</v>
      </c>
      <c r="O12" s="3">
        <v>4.3760399999999997</v>
      </c>
      <c r="Q12" s="3">
        <v>4.3488300000000004</v>
      </c>
      <c r="R12" s="3">
        <v>5.1273299999999997</v>
      </c>
      <c r="S12" s="3">
        <v>5.7701200000000004</v>
      </c>
      <c r="T12" s="3">
        <v>6.1689999999999996</v>
      </c>
      <c r="V12" s="3">
        <v>10.404949999999999</v>
      </c>
      <c r="W12" s="3">
        <v>4.4673100000000003</v>
      </c>
      <c r="X12" s="3">
        <v>29.111750000000001</v>
      </c>
      <c r="Y12" s="3" t="s">
        <v>540</v>
      </c>
    </row>
    <row r="13" spans="1:25" s="3" customFormat="1" x14ac:dyDescent="0.3">
      <c r="A13" s="3">
        <v>6.1464400000000001</v>
      </c>
      <c r="F13" s="3">
        <v>2.5517300000000001</v>
      </c>
      <c r="J13" s="3">
        <v>0.84763999999999995</v>
      </c>
      <c r="N13" s="3">
        <v>33.36748</v>
      </c>
      <c r="P13" s="3">
        <v>7.3014400000000004</v>
      </c>
      <c r="Q13" s="3">
        <v>1.73813</v>
      </c>
      <c r="S13" s="3">
        <v>1.3584700000000001</v>
      </c>
      <c r="T13" s="3">
        <v>1.69275</v>
      </c>
      <c r="U13" s="3">
        <v>17.153390000000002</v>
      </c>
      <c r="V13" s="3">
        <v>10.99357</v>
      </c>
      <c r="X13" s="3">
        <v>16.848960000000002</v>
      </c>
      <c r="Y13" s="3" t="s">
        <v>541</v>
      </c>
    </row>
    <row r="14" spans="1:25" s="3" customFormat="1" x14ac:dyDescent="0.3">
      <c r="A14" s="3">
        <v>7.3861600000000003</v>
      </c>
      <c r="I14" s="3">
        <v>1.86103</v>
      </c>
      <c r="L14" s="3">
        <v>1.8030999999999999</v>
      </c>
      <c r="O14" s="3">
        <v>1.43919</v>
      </c>
      <c r="R14" s="3">
        <v>1.54495</v>
      </c>
      <c r="S14" s="3">
        <v>2.6755800000000001</v>
      </c>
      <c r="T14" s="3">
        <v>3.3298800000000002</v>
      </c>
      <c r="U14" s="3">
        <v>44.75891</v>
      </c>
      <c r="V14" s="3">
        <v>15.55719</v>
      </c>
      <c r="W14" s="3">
        <v>2.2393299999999998</v>
      </c>
      <c r="X14" s="3">
        <v>17.404679999999999</v>
      </c>
      <c r="Y14" s="3" t="s">
        <v>542</v>
      </c>
    </row>
    <row r="15" spans="1:25" s="3" customFormat="1" x14ac:dyDescent="0.3">
      <c r="A15" s="3">
        <v>6.6407600000000002</v>
      </c>
      <c r="G15" s="3">
        <v>2.0862500000000002</v>
      </c>
      <c r="J15" s="3">
        <v>4.1646200000000002</v>
      </c>
      <c r="O15" s="3">
        <v>3.8831899999999999</v>
      </c>
      <c r="Q15" s="3">
        <v>3.4542899999999999</v>
      </c>
      <c r="R15" s="3">
        <v>5.2028100000000004</v>
      </c>
      <c r="S15" s="3">
        <v>6.9524800000000004</v>
      </c>
      <c r="T15" s="3">
        <v>7.2206799999999998</v>
      </c>
      <c r="V15" s="3">
        <v>22.383469999999999</v>
      </c>
      <c r="W15" s="3">
        <v>6.4576399999999996</v>
      </c>
      <c r="X15" s="3">
        <v>31.553809999999999</v>
      </c>
      <c r="Y15" s="3" t="s">
        <v>543</v>
      </c>
    </row>
    <row r="16" spans="1:25" s="3" customFormat="1" x14ac:dyDescent="0.3">
      <c r="A16" s="3">
        <v>4.6621699999999997</v>
      </c>
      <c r="J16" s="3">
        <v>8.5499799999999997</v>
      </c>
      <c r="M16" s="3">
        <v>2.87242</v>
      </c>
      <c r="O16" s="3">
        <v>2.0051100000000002</v>
      </c>
      <c r="R16" s="3">
        <v>4.3299599999999998</v>
      </c>
      <c r="S16" s="3">
        <v>5.6412699999999996</v>
      </c>
      <c r="T16" s="3">
        <v>4.2733600000000003</v>
      </c>
      <c r="U16" s="3">
        <v>10.108180000000001</v>
      </c>
      <c r="V16" s="3">
        <v>17.763559999999998</v>
      </c>
      <c r="W16" s="3">
        <v>10.424910000000001</v>
      </c>
      <c r="X16" s="3">
        <v>29.36908</v>
      </c>
      <c r="Y16" s="3" t="s">
        <v>544</v>
      </c>
    </row>
    <row r="17" spans="1:25" s="3" customFormat="1" x14ac:dyDescent="0.3">
      <c r="A17" s="3">
        <v>2.9037999999999999</v>
      </c>
      <c r="C17" s="3">
        <v>1.3834</v>
      </c>
      <c r="G17" s="3">
        <v>1.22126</v>
      </c>
      <c r="L17" s="3">
        <v>0.69462999999999997</v>
      </c>
      <c r="O17" s="3">
        <v>11.08789</v>
      </c>
      <c r="R17" s="3">
        <v>0.77783000000000002</v>
      </c>
      <c r="S17" s="3">
        <v>2.4843199999999999</v>
      </c>
      <c r="T17" s="3">
        <v>11.620760000000001</v>
      </c>
      <c r="U17" s="3">
        <v>42.753250000000001</v>
      </c>
      <c r="V17" s="3">
        <v>14.397069999999999</v>
      </c>
      <c r="X17" s="3">
        <v>10.675789999999999</v>
      </c>
      <c r="Y17" s="3" t="s">
        <v>545</v>
      </c>
    </row>
    <row r="18" spans="1:25" s="3" customFormat="1" x14ac:dyDescent="0.3">
      <c r="A18" s="3">
        <v>4.5873799999999996</v>
      </c>
      <c r="J18" s="3">
        <v>1.46092</v>
      </c>
      <c r="L18" s="3">
        <v>4.2549599999999996</v>
      </c>
      <c r="M18" s="3">
        <v>4.0248499999999998</v>
      </c>
      <c r="O18" s="3">
        <v>5.0279199999999999</v>
      </c>
      <c r="R18" s="3">
        <v>5.1692099999999996</v>
      </c>
      <c r="S18" s="3">
        <v>3.9279299999999999</v>
      </c>
      <c r="T18" s="3">
        <v>12.14963</v>
      </c>
      <c r="V18" s="3">
        <v>42.338889999999999</v>
      </c>
      <c r="W18" s="3">
        <v>3.04772</v>
      </c>
      <c r="X18" s="3">
        <v>14.010590000000001</v>
      </c>
      <c r="Y18" s="3" t="s">
        <v>546</v>
      </c>
    </row>
    <row r="19" spans="1:25" s="3" customFormat="1" x14ac:dyDescent="0.3">
      <c r="A19" s="3">
        <v>4.93492</v>
      </c>
      <c r="E19" s="3">
        <v>0.99490999999999996</v>
      </c>
      <c r="J19" s="3">
        <v>2.9791500000000002</v>
      </c>
      <c r="O19" s="3">
        <v>1.23465</v>
      </c>
      <c r="P19" s="3">
        <v>42.510309999999997</v>
      </c>
      <c r="S19" s="3">
        <v>4.1313399999999998</v>
      </c>
      <c r="T19" s="3">
        <v>4.7584999999999997</v>
      </c>
      <c r="U19" s="3">
        <v>1.7539899999999999</v>
      </c>
      <c r="V19" s="3">
        <v>13.12288</v>
      </c>
      <c r="W19" s="3">
        <v>9.9930800000000009</v>
      </c>
      <c r="X19" s="3">
        <v>13.586270000000001</v>
      </c>
      <c r="Y19" s="3" t="s">
        <v>547</v>
      </c>
    </row>
    <row r="20" spans="1:25" s="3" customFormat="1" x14ac:dyDescent="0.3">
      <c r="A20" s="3">
        <v>0.90890000000000004</v>
      </c>
      <c r="B20" s="3">
        <v>0.58687</v>
      </c>
      <c r="G20" s="3">
        <v>0.45040000000000002</v>
      </c>
      <c r="I20" s="3">
        <v>0.82142999999999999</v>
      </c>
      <c r="N20" s="3">
        <v>6.3708600000000004</v>
      </c>
      <c r="R20" s="3">
        <v>1.9487399999999999</v>
      </c>
      <c r="S20" s="3">
        <v>5.0346299999999999</v>
      </c>
      <c r="T20" s="3">
        <v>28.129960000000001</v>
      </c>
      <c r="V20" s="3">
        <v>8.8497000000000003</v>
      </c>
      <c r="W20" s="3">
        <v>13.9533</v>
      </c>
      <c r="X20" s="3">
        <v>32.945210000000003</v>
      </c>
      <c r="Y20" s="3" t="s">
        <v>548</v>
      </c>
    </row>
    <row r="21" spans="1:25" s="3" customFormat="1" x14ac:dyDescent="0.3">
      <c r="A21" s="3">
        <v>3.7868200000000001</v>
      </c>
      <c r="D21" s="3">
        <v>1.9800899999999999</v>
      </c>
      <c r="E21" s="3">
        <v>1.5057400000000001</v>
      </c>
      <c r="L21" s="3">
        <v>1.24512</v>
      </c>
      <c r="M21" s="3">
        <v>2.0255899999999998</v>
      </c>
      <c r="O21" s="3">
        <v>2.0306899999999999</v>
      </c>
      <c r="S21" s="3">
        <v>1.92363</v>
      </c>
      <c r="T21" s="3">
        <v>12.484629999999999</v>
      </c>
      <c r="U21" s="3">
        <v>38.025100000000002</v>
      </c>
      <c r="V21" s="3">
        <v>13.78637</v>
      </c>
      <c r="X21" s="3">
        <v>21.206219999999998</v>
      </c>
      <c r="Y21" s="3" t="s">
        <v>549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6167-9F54-457B-911B-E68F80630FBC}">
  <dimension ref="A1:V34"/>
  <sheetViews>
    <sheetView tabSelected="1" workbookViewId="0">
      <selection activeCell="E31" sqref="E31"/>
    </sheetView>
  </sheetViews>
  <sheetFormatPr defaultRowHeight="14" x14ac:dyDescent="0.3"/>
  <cols>
    <col min="1" max="1" width="36.25" customWidth="1"/>
  </cols>
  <sheetData>
    <row r="1" spans="1:22" x14ac:dyDescent="0.3">
      <c r="A1" t="s">
        <v>625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  <c r="N1" t="s">
        <v>542</v>
      </c>
      <c r="O1" t="s">
        <v>543</v>
      </c>
      <c r="P1" t="s">
        <v>544</v>
      </c>
      <c r="Q1" t="s">
        <v>545</v>
      </c>
      <c r="R1" t="s">
        <v>546</v>
      </c>
      <c r="S1" t="s">
        <v>547</v>
      </c>
      <c r="T1" t="s">
        <v>548</v>
      </c>
      <c r="U1" t="s">
        <v>549</v>
      </c>
      <c r="V1" t="s">
        <v>550</v>
      </c>
    </row>
    <row r="2" spans="1:22" x14ac:dyDescent="0.3">
      <c r="A2" t="s">
        <v>414</v>
      </c>
      <c r="B2">
        <v>4.1605100000000004</v>
      </c>
      <c r="C2">
        <v>13.510149999999999</v>
      </c>
      <c r="D2">
        <v>38.048169999999999</v>
      </c>
      <c r="E2">
        <v>60.02957</v>
      </c>
      <c r="F2">
        <v>22.1325</v>
      </c>
      <c r="G2">
        <v>38.996310000000001</v>
      </c>
      <c r="H2">
        <v>73.178569999999993</v>
      </c>
      <c r="I2">
        <v>16.072299999999998</v>
      </c>
      <c r="J2">
        <v>27.17014</v>
      </c>
      <c r="K2">
        <v>2.3308200000000001</v>
      </c>
      <c r="L2">
        <v>4.4673100000000003</v>
      </c>
      <c r="M2">
        <v>0.45766000000000001</v>
      </c>
      <c r="N2">
        <v>2.2301299999999999</v>
      </c>
      <c r="O2">
        <v>6.4576399999999996</v>
      </c>
      <c r="P2">
        <v>10.424910000000001</v>
      </c>
      <c r="Q2">
        <v>1.0019999999999999E-2</v>
      </c>
      <c r="R2">
        <v>3.04772</v>
      </c>
      <c r="S2">
        <v>9.9930800000000009</v>
      </c>
      <c r="T2">
        <v>13.9533</v>
      </c>
      <c r="U2">
        <v>0.11138000000000001</v>
      </c>
      <c r="V2">
        <v>17.339109499999999</v>
      </c>
    </row>
    <row r="3" spans="1:22" x14ac:dyDescent="0.3">
      <c r="A3" t="s">
        <v>433</v>
      </c>
      <c r="B3">
        <v>1.53328</v>
      </c>
      <c r="C3">
        <v>2.5876399999999999</v>
      </c>
      <c r="D3">
        <v>5.3460000000000001E-2</v>
      </c>
      <c r="E3">
        <v>6.7489999999999994E-2</v>
      </c>
      <c r="F3">
        <v>3.31E-3</v>
      </c>
      <c r="G3">
        <v>2.3879999999999998E-2</v>
      </c>
      <c r="H3">
        <v>1.7430699999999999</v>
      </c>
      <c r="I3">
        <v>11.550230000000001</v>
      </c>
      <c r="J3">
        <v>5.058E-2</v>
      </c>
      <c r="K3">
        <v>5.1293800000000003</v>
      </c>
      <c r="L3">
        <v>2.24133</v>
      </c>
      <c r="M3">
        <v>17.153390000000002</v>
      </c>
      <c r="N3">
        <v>44.75891</v>
      </c>
      <c r="O3">
        <v>3.98E-3</v>
      </c>
      <c r="P3">
        <v>10.108180000000001</v>
      </c>
      <c r="Q3">
        <v>42.45917</v>
      </c>
      <c r="R3">
        <v>0</v>
      </c>
      <c r="S3">
        <v>1.5619499999999999</v>
      </c>
      <c r="T3">
        <v>7.4200000000000004E-3</v>
      </c>
      <c r="U3">
        <v>38.01247</v>
      </c>
      <c r="V3">
        <v>8.9524560000000015</v>
      </c>
    </row>
    <row r="4" spans="1:22" x14ac:dyDescent="0.3">
      <c r="A4" t="s">
        <v>428</v>
      </c>
      <c r="B4">
        <v>21.47129</v>
      </c>
      <c r="C4">
        <v>3.60745</v>
      </c>
      <c r="D4">
        <v>0.62929000000000002</v>
      </c>
      <c r="E4">
        <v>1.36077</v>
      </c>
      <c r="F4">
        <v>19.97672</v>
      </c>
      <c r="G4">
        <v>6.6741999999999999</v>
      </c>
      <c r="H4">
        <v>2.19204</v>
      </c>
      <c r="I4">
        <v>5.3715599999999997</v>
      </c>
      <c r="J4">
        <v>3.786</v>
      </c>
      <c r="K4">
        <v>5.5977100000000002</v>
      </c>
      <c r="L4">
        <v>6.1689999999999996</v>
      </c>
      <c r="M4">
        <v>1.69275</v>
      </c>
      <c r="N4">
        <v>3.3298800000000002</v>
      </c>
      <c r="O4">
        <v>7.2206799999999998</v>
      </c>
      <c r="P4">
        <v>4.2733600000000003</v>
      </c>
      <c r="Q4">
        <v>11.620760000000001</v>
      </c>
      <c r="R4">
        <v>12.14963</v>
      </c>
      <c r="S4">
        <v>4.7584999999999997</v>
      </c>
      <c r="T4">
        <v>28.129960000000001</v>
      </c>
      <c r="U4">
        <v>12.484629999999999</v>
      </c>
      <c r="V4">
        <v>8.1248090000000008</v>
      </c>
    </row>
    <row r="5" spans="1:22" x14ac:dyDescent="0.3">
      <c r="A5" t="s">
        <v>463</v>
      </c>
      <c r="B5">
        <v>9.8557600000000001</v>
      </c>
      <c r="C5">
        <v>3.4036499999999998</v>
      </c>
      <c r="D5">
        <v>0.47617999999999999</v>
      </c>
      <c r="E5">
        <v>8.0791900000000005</v>
      </c>
      <c r="F5">
        <v>7.2153200000000002</v>
      </c>
      <c r="G5">
        <v>5.9143800000000004</v>
      </c>
      <c r="H5">
        <v>1.44651</v>
      </c>
      <c r="I5">
        <v>6.0212000000000003</v>
      </c>
      <c r="J5">
        <v>0.13783999999999999</v>
      </c>
      <c r="K5">
        <v>6.6571600000000002</v>
      </c>
      <c r="L5">
        <v>3.4315899999999999</v>
      </c>
      <c r="M5">
        <v>7.2264400000000002</v>
      </c>
      <c r="N5">
        <v>8.1500599999999999</v>
      </c>
      <c r="O5">
        <v>13.22526</v>
      </c>
      <c r="P5">
        <v>6.5915900000000001</v>
      </c>
      <c r="Q5">
        <v>10.59939</v>
      </c>
      <c r="R5">
        <v>18.98939</v>
      </c>
      <c r="S5">
        <v>7.2009999999999996</v>
      </c>
      <c r="T5">
        <v>4.7184499999999998</v>
      </c>
      <c r="U5">
        <v>9.2157499999999999</v>
      </c>
      <c r="V5">
        <v>6.9278054999999998</v>
      </c>
    </row>
    <row r="6" spans="1:22" x14ac:dyDescent="0.3">
      <c r="A6" t="s">
        <v>451</v>
      </c>
      <c r="B6">
        <v>6.9945899999999996</v>
      </c>
      <c r="C6">
        <v>19.13889</v>
      </c>
      <c r="D6">
        <v>6.0970899999999997</v>
      </c>
      <c r="E6">
        <v>4.5449599999999997</v>
      </c>
      <c r="F6">
        <v>5.74735</v>
      </c>
      <c r="G6">
        <v>6.4210500000000001</v>
      </c>
      <c r="H6">
        <v>1.8156699999999999</v>
      </c>
      <c r="I6">
        <v>5.7478600000000002</v>
      </c>
      <c r="J6">
        <v>5.5789499999999999</v>
      </c>
      <c r="K6">
        <v>7.7306999999999997</v>
      </c>
      <c r="L6">
        <v>13.94787</v>
      </c>
      <c r="M6">
        <v>4.4445300000000003</v>
      </c>
      <c r="N6">
        <v>3.95634</v>
      </c>
      <c r="O6">
        <v>9.9154800000000005</v>
      </c>
      <c r="P6">
        <v>4.9175599999999999</v>
      </c>
      <c r="Q6">
        <v>2.40646</v>
      </c>
      <c r="R6">
        <v>3.4525199999999998</v>
      </c>
      <c r="S6">
        <v>1.78877</v>
      </c>
      <c r="T6">
        <v>8.9750399999999999</v>
      </c>
      <c r="U6">
        <v>8.2477</v>
      </c>
      <c r="V6">
        <v>6.5934690000000007</v>
      </c>
    </row>
    <row r="7" spans="1:22" x14ac:dyDescent="0.3">
      <c r="A7" t="s">
        <v>466</v>
      </c>
      <c r="B7">
        <v>3.1970499999999999</v>
      </c>
      <c r="C7">
        <v>0.84487000000000001</v>
      </c>
      <c r="D7">
        <v>4.5331400000000004</v>
      </c>
      <c r="E7">
        <v>5.1496500000000003</v>
      </c>
      <c r="F7">
        <v>3.6341199999999998</v>
      </c>
      <c r="G7">
        <v>4.39628</v>
      </c>
      <c r="H7">
        <v>0.93008000000000002</v>
      </c>
      <c r="I7">
        <v>4.3396999999999997</v>
      </c>
      <c r="J7">
        <v>6.2220599999999999</v>
      </c>
      <c r="K7">
        <v>17.574000000000002</v>
      </c>
      <c r="L7">
        <v>5.1633300000000002</v>
      </c>
      <c r="M7">
        <v>3.1033200000000001</v>
      </c>
      <c r="N7">
        <v>5.7874800000000004</v>
      </c>
      <c r="O7">
        <v>5.1524799999999997</v>
      </c>
      <c r="P7">
        <v>9.00136</v>
      </c>
      <c r="Q7">
        <v>1.6248800000000001</v>
      </c>
      <c r="R7">
        <v>20.216390000000001</v>
      </c>
      <c r="S7">
        <v>4.4268200000000002</v>
      </c>
      <c r="T7">
        <v>0</v>
      </c>
      <c r="U7">
        <v>1.75291</v>
      </c>
      <c r="V7">
        <v>5.3524960000000013</v>
      </c>
    </row>
    <row r="8" spans="1:22" x14ac:dyDescent="0.3">
      <c r="A8" t="s">
        <v>447</v>
      </c>
      <c r="B8">
        <v>10.21083</v>
      </c>
      <c r="C8">
        <v>5.3390300000000002</v>
      </c>
      <c r="D8">
        <v>5.5797400000000001</v>
      </c>
      <c r="E8">
        <v>4.9231199999999999</v>
      </c>
      <c r="F8">
        <v>4.5565899999999999</v>
      </c>
      <c r="G8">
        <v>2.2439900000000002</v>
      </c>
      <c r="H8">
        <v>1.0746500000000001</v>
      </c>
      <c r="I8">
        <v>6.4623900000000001</v>
      </c>
      <c r="J8">
        <v>1.0477799999999999</v>
      </c>
      <c r="K8">
        <v>2.1073599999999999</v>
      </c>
      <c r="L8">
        <v>5.7694700000000001</v>
      </c>
      <c r="M8">
        <v>1.3584700000000001</v>
      </c>
      <c r="N8">
        <v>2.6755800000000001</v>
      </c>
      <c r="O8">
        <v>6.9524800000000004</v>
      </c>
      <c r="P8">
        <v>5.6412699999999996</v>
      </c>
      <c r="Q8">
        <v>2.4843199999999999</v>
      </c>
      <c r="R8">
        <v>3.9279299999999999</v>
      </c>
      <c r="S8">
        <v>4.1313399999999998</v>
      </c>
      <c r="T8">
        <v>5.0346299999999999</v>
      </c>
      <c r="U8">
        <v>1.92363</v>
      </c>
      <c r="V8">
        <v>4.1722300000000008</v>
      </c>
    </row>
    <row r="9" spans="1:22" x14ac:dyDescent="0.3">
      <c r="A9" t="s">
        <v>419</v>
      </c>
      <c r="B9">
        <v>3.0890000000000001E-2</v>
      </c>
      <c r="C9">
        <v>11.35238</v>
      </c>
      <c r="D9">
        <v>12.200609999999999</v>
      </c>
      <c r="E9">
        <v>2.6739000000000002</v>
      </c>
      <c r="F9">
        <v>1.6696599999999999</v>
      </c>
      <c r="G9">
        <v>0</v>
      </c>
      <c r="H9">
        <v>5.0401699999999998</v>
      </c>
      <c r="I9">
        <v>1.90659</v>
      </c>
      <c r="J9">
        <v>4.7989300000000004</v>
      </c>
      <c r="K9">
        <v>11.81122</v>
      </c>
      <c r="L9">
        <v>4.0352600000000001</v>
      </c>
      <c r="M9">
        <v>1.73813</v>
      </c>
      <c r="N9">
        <v>0.84750999999999999</v>
      </c>
      <c r="O9">
        <v>3.42944</v>
      </c>
      <c r="P9">
        <v>1.2028700000000001</v>
      </c>
      <c r="Q9">
        <v>0.15103</v>
      </c>
      <c r="R9">
        <v>0</v>
      </c>
      <c r="S9">
        <v>0.68547999999999998</v>
      </c>
      <c r="T9">
        <v>0</v>
      </c>
      <c r="U9">
        <v>0.56274999999999997</v>
      </c>
      <c r="V9">
        <v>3.2068409999999994</v>
      </c>
    </row>
    <row r="10" spans="1:22" x14ac:dyDescent="0.3">
      <c r="A10" t="s">
        <v>441</v>
      </c>
      <c r="B10">
        <v>4.5850000000000002E-2</v>
      </c>
      <c r="C10">
        <v>0.23874999999999999</v>
      </c>
      <c r="D10">
        <v>0.28878999999999999</v>
      </c>
      <c r="E10">
        <v>0.25361</v>
      </c>
      <c r="F10">
        <v>4.3360000000000003E-2</v>
      </c>
      <c r="G10">
        <v>0.11527</v>
      </c>
      <c r="H10">
        <v>1.14E-3</v>
      </c>
      <c r="I10">
        <v>2.512E-2</v>
      </c>
      <c r="J10">
        <v>11.291449999999999</v>
      </c>
      <c r="K10">
        <v>1.1421399999999999</v>
      </c>
      <c r="L10">
        <v>0</v>
      </c>
      <c r="M10">
        <v>33.36748</v>
      </c>
      <c r="N10">
        <v>3.2849999999999997E-2</v>
      </c>
      <c r="O10">
        <v>1.4370000000000001E-2</v>
      </c>
      <c r="P10">
        <v>0.32549</v>
      </c>
      <c r="Q10">
        <v>0.68101</v>
      </c>
      <c r="R10">
        <v>0.17147000000000001</v>
      </c>
      <c r="S10">
        <v>0</v>
      </c>
      <c r="T10">
        <v>6.3708600000000004</v>
      </c>
      <c r="U10">
        <v>1.1140000000000001E-2</v>
      </c>
      <c r="V10">
        <v>2.7210074999999998</v>
      </c>
    </row>
    <row r="11" spans="1:22" x14ac:dyDescent="0.3">
      <c r="A11" t="s">
        <v>443</v>
      </c>
      <c r="B11">
        <v>4.3794500000000003</v>
      </c>
      <c r="C11">
        <v>2.2701199999999999</v>
      </c>
      <c r="D11">
        <v>8.2589999999999997E-2</v>
      </c>
      <c r="E11">
        <v>4.9739999999999999E-2</v>
      </c>
      <c r="F11">
        <v>1.5669599999999999</v>
      </c>
      <c r="G11">
        <v>3.9751699999999999</v>
      </c>
      <c r="H11">
        <v>0.21371000000000001</v>
      </c>
      <c r="I11">
        <v>3.7571699999999999</v>
      </c>
      <c r="J11">
        <v>0</v>
      </c>
      <c r="K11">
        <v>5.7851299999999997</v>
      </c>
      <c r="L11">
        <v>4.3760399999999997</v>
      </c>
      <c r="M11">
        <v>0.69686000000000003</v>
      </c>
      <c r="N11">
        <v>1.43919</v>
      </c>
      <c r="O11">
        <v>3.8831899999999999</v>
      </c>
      <c r="P11">
        <v>2.0051100000000002</v>
      </c>
      <c r="Q11">
        <v>11.08789</v>
      </c>
      <c r="R11">
        <v>5.0248900000000001</v>
      </c>
      <c r="S11">
        <v>1.23465</v>
      </c>
      <c r="T11">
        <v>2.0000000000000001E-4</v>
      </c>
      <c r="U11">
        <v>2.0306899999999999</v>
      </c>
      <c r="V11">
        <v>2.6929375000000002</v>
      </c>
    </row>
    <row r="12" spans="1:22" x14ac:dyDescent="0.3">
      <c r="A12" t="s">
        <v>489</v>
      </c>
      <c r="B12">
        <v>0</v>
      </c>
      <c r="C12">
        <v>0</v>
      </c>
      <c r="D12">
        <v>2.189E-2</v>
      </c>
      <c r="E12">
        <v>0</v>
      </c>
      <c r="F12">
        <v>0</v>
      </c>
      <c r="G12">
        <v>0</v>
      </c>
      <c r="H12">
        <v>1.0719099999999999</v>
      </c>
      <c r="I12">
        <v>0.2089</v>
      </c>
      <c r="J12">
        <v>1.8710000000000001E-2</v>
      </c>
      <c r="K12">
        <v>0</v>
      </c>
      <c r="L12">
        <v>0.28393000000000002</v>
      </c>
      <c r="M12">
        <v>7.3014400000000004</v>
      </c>
      <c r="N12">
        <v>2.0459999999999999E-2</v>
      </c>
      <c r="O12">
        <v>0</v>
      </c>
      <c r="P12">
        <v>0</v>
      </c>
      <c r="Q12">
        <v>0</v>
      </c>
      <c r="R12">
        <v>0</v>
      </c>
      <c r="S12">
        <v>40.142229999999998</v>
      </c>
      <c r="T12">
        <v>0</v>
      </c>
      <c r="U12">
        <v>0</v>
      </c>
      <c r="V12">
        <v>2.4534734999999999</v>
      </c>
    </row>
    <row r="13" spans="1:22" x14ac:dyDescent="0.3">
      <c r="A13" t="s">
        <v>434</v>
      </c>
      <c r="B13">
        <v>6.8725100000000001</v>
      </c>
      <c r="C13">
        <v>1.23888</v>
      </c>
      <c r="D13">
        <v>0.13175999999999999</v>
      </c>
      <c r="E13">
        <v>0.85314999999999996</v>
      </c>
      <c r="F13">
        <v>2.2475499999999999</v>
      </c>
      <c r="G13">
        <v>4.9220199999999998</v>
      </c>
      <c r="H13">
        <v>0.86429999999999996</v>
      </c>
      <c r="I13">
        <v>7.9511700000000003</v>
      </c>
      <c r="J13">
        <v>3.11849</v>
      </c>
      <c r="K13">
        <v>3.5696300000000001</v>
      </c>
      <c r="L13">
        <v>1.8877999999999999</v>
      </c>
      <c r="M13">
        <v>8.3800000000000003E-3</v>
      </c>
      <c r="N13">
        <v>1.8030999999999999</v>
      </c>
      <c r="O13">
        <v>0.64258999999999999</v>
      </c>
      <c r="P13">
        <v>0.82865999999999995</v>
      </c>
      <c r="Q13">
        <v>0.69462999999999997</v>
      </c>
      <c r="R13">
        <v>4.2549599999999996</v>
      </c>
      <c r="S13">
        <v>0.48310999999999998</v>
      </c>
      <c r="T13">
        <v>5.2299999999999999E-2</v>
      </c>
      <c r="U13">
        <v>1.24512</v>
      </c>
      <c r="V13">
        <v>2.1835054999999999</v>
      </c>
    </row>
    <row r="14" spans="1:22" x14ac:dyDescent="0.3">
      <c r="A14" t="s">
        <v>460</v>
      </c>
      <c r="B14">
        <v>2.43879</v>
      </c>
      <c r="C14">
        <v>3.8040099999999999</v>
      </c>
      <c r="D14">
        <v>1.52E-2</v>
      </c>
      <c r="E14">
        <v>7.5120000000000006E-2</v>
      </c>
      <c r="F14">
        <v>3.0061200000000001</v>
      </c>
      <c r="G14">
        <v>2.8991799999999999</v>
      </c>
      <c r="H14">
        <v>0.47216999999999998</v>
      </c>
      <c r="I14">
        <v>2.7904100000000001</v>
      </c>
      <c r="J14">
        <v>11.379009999999999</v>
      </c>
      <c r="K14">
        <v>3.10954</v>
      </c>
      <c r="L14">
        <v>1.6346799999999999</v>
      </c>
      <c r="M14">
        <v>0.35058</v>
      </c>
      <c r="N14">
        <v>0.72619999999999996</v>
      </c>
      <c r="O14">
        <v>0.44113000000000002</v>
      </c>
      <c r="P14">
        <v>2.8467500000000001</v>
      </c>
      <c r="Q14">
        <v>0.42071999999999998</v>
      </c>
      <c r="R14">
        <v>2.9843000000000002</v>
      </c>
      <c r="S14">
        <v>0.73363999999999996</v>
      </c>
      <c r="T14">
        <v>1.2999999999999999E-4</v>
      </c>
      <c r="U14">
        <v>1.4184099999999999</v>
      </c>
      <c r="V14">
        <v>2.0773044999999999</v>
      </c>
    </row>
    <row r="15" spans="1:22" x14ac:dyDescent="0.3">
      <c r="A15" t="s">
        <v>459</v>
      </c>
      <c r="B15">
        <v>2.3738199999999998</v>
      </c>
      <c r="C15">
        <v>3.7898200000000002</v>
      </c>
      <c r="D15">
        <v>0.41392000000000001</v>
      </c>
      <c r="E15">
        <v>0.23607</v>
      </c>
      <c r="F15">
        <v>0.97323999999999999</v>
      </c>
      <c r="G15">
        <v>1.8530899999999999</v>
      </c>
      <c r="H15">
        <v>0.24693999999999999</v>
      </c>
      <c r="I15">
        <v>0.69018999999999997</v>
      </c>
      <c r="J15">
        <v>0.27313999999999999</v>
      </c>
      <c r="K15">
        <v>1.6846099999999999</v>
      </c>
      <c r="L15">
        <v>6.3669099999999998</v>
      </c>
      <c r="M15">
        <v>2.5173899999999998</v>
      </c>
      <c r="N15">
        <v>3.06948</v>
      </c>
      <c r="O15">
        <v>2.0752100000000002</v>
      </c>
      <c r="P15">
        <v>5.2214099999999997</v>
      </c>
      <c r="Q15">
        <v>0.93764000000000003</v>
      </c>
      <c r="R15">
        <v>1.0891599999999999</v>
      </c>
      <c r="S15">
        <v>1.7418400000000001</v>
      </c>
      <c r="T15">
        <v>0.87939000000000001</v>
      </c>
      <c r="U15">
        <v>4.5467500000000003</v>
      </c>
      <c r="V15">
        <v>2.0490010000000001</v>
      </c>
    </row>
    <row r="16" spans="1:22" x14ac:dyDescent="0.3">
      <c r="A16" t="s">
        <v>453</v>
      </c>
      <c r="B16">
        <v>1.4019299999999999</v>
      </c>
      <c r="C16">
        <v>4.5108699999999997</v>
      </c>
      <c r="D16">
        <v>2.1574599999999999</v>
      </c>
      <c r="E16">
        <v>0.87546999999999997</v>
      </c>
      <c r="F16">
        <v>1.31114</v>
      </c>
      <c r="G16">
        <v>1.0220899999999999</v>
      </c>
      <c r="H16">
        <v>0.80549000000000004</v>
      </c>
      <c r="I16">
        <v>1.3576299999999999</v>
      </c>
      <c r="J16">
        <v>0.71482000000000001</v>
      </c>
      <c r="K16">
        <v>2.4796100000000001</v>
      </c>
      <c r="L16">
        <v>1.2524599999999999</v>
      </c>
      <c r="M16">
        <v>1.3553500000000001</v>
      </c>
      <c r="N16">
        <v>2.4999500000000001</v>
      </c>
      <c r="O16">
        <v>3.7631299999999999</v>
      </c>
      <c r="P16">
        <v>1.87687</v>
      </c>
      <c r="Q16">
        <v>0.28903000000000001</v>
      </c>
      <c r="R16">
        <v>3.0931799999999998</v>
      </c>
      <c r="S16">
        <v>1.2277499999999999</v>
      </c>
      <c r="T16">
        <v>1.04905</v>
      </c>
      <c r="U16">
        <v>2.6942499999999998</v>
      </c>
      <c r="V16">
        <v>1.7868765</v>
      </c>
    </row>
    <row r="17" spans="1:22" x14ac:dyDescent="0.3">
      <c r="A17" t="s">
        <v>468</v>
      </c>
      <c r="B17">
        <v>2.6788500000000002</v>
      </c>
      <c r="C17">
        <v>0.88810999999999996</v>
      </c>
      <c r="D17">
        <v>1.7847</v>
      </c>
      <c r="E17">
        <v>1.8473599999999999</v>
      </c>
      <c r="F17">
        <v>1.84789</v>
      </c>
      <c r="G17">
        <v>1.46957</v>
      </c>
      <c r="H17">
        <v>0.38451000000000002</v>
      </c>
      <c r="I17">
        <v>1.18956</v>
      </c>
      <c r="J17">
        <v>1.6910000000000001E-2</v>
      </c>
      <c r="K17">
        <v>3.2471899999999998</v>
      </c>
      <c r="L17">
        <v>1.35358</v>
      </c>
      <c r="M17">
        <v>0.38164999999999999</v>
      </c>
      <c r="N17">
        <v>1.0719799999999999</v>
      </c>
      <c r="O17">
        <v>2.9983</v>
      </c>
      <c r="P17">
        <v>1.36866</v>
      </c>
      <c r="Q17">
        <v>2.09551</v>
      </c>
      <c r="R17">
        <v>1.74342</v>
      </c>
      <c r="S17">
        <v>1.03511</v>
      </c>
      <c r="T17">
        <v>1.95631</v>
      </c>
      <c r="U17">
        <v>2.2476799999999999</v>
      </c>
      <c r="V17">
        <v>1.5803425</v>
      </c>
    </row>
    <row r="18" spans="1:22" x14ac:dyDescent="0.3">
      <c r="A18" t="s">
        <v>452</v>
      </c>
      <c r="B18">
        <v>1.68181</v>
      </c>
      <c r="C18">
        <v>2.6033200000000001</v>
      </c>
      <c r="D18">
        <v>3.06419</v>
      </c>
      <c r="E18">
        <v>0.55491000000000001</v>
      </c>
      <c r="F18">
        <v>0.39411000000000002</v>
      </c>
      <c r="G18">
        <v>2.8317800000000002</v>
      </c>
      <c r="H18">
        <v>7.2849999999999998E-2</v>
      </c>
      <c r="I18">
        <v>0.58447000000000005</v>
      </c>
      <c r="J18">
        <v>0.17002</v>
      </c>
      <c r="K18">
        <v>3.1731799999999999</v>
      </c>
      <c r="L18">
        <v>2.3418999999999999</v>
      </c>
      <c r="M18">
        <v>1.0144200000000001</v>
      </c>
      <c r="N18">
        <v>1.2164699999999999</v>
      </c>
      <c r="O18">
        <v>2.70546</v>
      </c>
      <c r="P18">
        <v>1.7348600000000001</v>
      </c>
      <c r="Q18">
        <v>1.8285199999999999</v>
      </c>
      <c r="R18">
        <v>1.1102700000000001</v>
      </c>
      <c r="S18">
        <v>1.90812</v>
      </c>
      <c r="T18">
        <v>0.88127</v>
      </c>
      <c r="U18">
        <v>1.3267</v>
      </c>
      <c r="V18">
        <v>1.5599315</v>
      </c>
    </row>
    <row r="19" spans="1:22" x14ac:dyDescent="0.3">
      <c r="A19" t="s">
        <v>492</v>
      </c>
      <c r="B19">
        <v>0</v>
      </c>
      <c r="C19">
        <v>0</v>
      </c>
      <c r="D19">
        <v>6.2485200000000001</v>
      </c>
      <c r="E19">
        <v>0.39302999999999999</v>
      </c>
      <c r="F19">
        <v>7.3029999999999998E-2</v>
      </c>
      <c r="G19">
        <v>0</v>
      </c>
      <c r="H19">
        <v>2.4000000000000001E-4</v>
      </c>
      <c r="I19">
        <v>0</v>
      </c>
      <c r="J19">
        <v>3.4578700000000002</v>
      </c>
      <c r="K19">
        <v>1.4102300000000001</v>
      </c>
      <c r="L19">
        <v>15.3704</v>
      </c>
      <c r="M19">
        <v>0</v>
      </c>
      <c r="N19">
        <v>0.53513999999999995</v>
      </c>
      <c r="O19">
        <v>4.1500000000000002E-2</v>
      </c>
      <c r="P19">
        <v>0</v>
      </c>
      <c r="Q19">
        <v>0</v>
      </c>
      <c r="R19">
        <v>0.66237000000000001</v>
      </c>
      <c r="S19">
        <v>1.328E-2</v>
      </c>
      <c r="T19">
        <v>0</v>
      </c>
      <c r="U19">
        <v>0</v>
      </c>
      <c r="V19">
        <v>1.4102805</v>
      </c>
    </row>
    <row r="20" spans="1:22" x14ac:dyDescent="0.3">
      <c r="A20" t="s">
        <v>455</v>
      </c>
      <c r="B20">
        <v>1.17381</v>
      </c>
      <c r="C20">
        <v>1.8777200000000001</v>
      </c>
      <c r="D20">
        <v>3.4596800000000001</v>
      </c>
      <c r="E20">
        <v>0.76317000000000002</v>
      </c>
      <c r="F20">
        <v>0.33518999999999999</v>
      </c>
      <c r="G20">
        <v>2.26769</v>
      </c>
      <c r="H20">
        <v>0.15101000000000001</v>
      </c>
      <c r="I20">
        <v>1.52643</v>
      </c>
      <c r="J20">
        <v>6.9800000000000001E-2</v>
      </c>
      <c r="K20">
        <v>0.62094000000000005</v>
      </c>
      <c r="L20">
        <v>0.32840000000000003</v>
      </c>
      <c r="M20">
        <v>2.12418</v>
      </c>
      <c r="N20">
        <v>0.31046000000000001</v>
      </c>
      <c r="O20">
        <v>1.3213999999999999</v>
      </c>
      <c r="P20">
        <v>0.91742999999999997</v>
      </c>
      <c r="Q20">
        <v>2.1868400000000001</v>
      </c>
      <c r="R20">
        <v>0.93942999999999999</v>
      </c>
      <c r="S20">
        <v>0.95887</v>
      </c>
      <c r="T20">
        <v>2.0608499999999998</v>
      </c>
      <c r="U20">
        <v>1.1957599999999999</v>
      </c>
      <c r="V20">
        <v>1.2294529999999999</v>
      </c>
    </row>
    <row r="21" spans="1:22" x14ac:dyDescent="0.3">
      <c r="A21" t="s">
        <v>449</v>
      </c>
      <c r="B21">
        <v>0.35370000000000001</v>
      </c>
      <c r="C21">
        <v>0.98785000000000001</v>
      </c>
      <c r="D21">
        <v>3.2059299999999999</v>
      </c>
      <c r="E21">
        <v>0.80506999999999995</v>
      </c>
      <c r="F21">
        <v>0.97563999999999995</v>
      </c>
      <c r="G21">
        <v>0.72738000000000003</v>
      </c>
      <c r="H21">
        <v>0.31102999999999997</v>
      </c>
      <c r="I21">
        <v>0.59931999999999996</v>
      </c>
      <c r="J21">
        <v>0.44599</v>
      </c>
      <c r="K21">
        <v>0.87133000000000005</v>
      </c>
      <c r="L21">
        <v>1.8251200000000001</v>
      </c>
      <c r="M21">
        <v>0.28304000000000001</v>
      </c>
      <c r="N21">
        <v>0.26511000000000001</v>
      </c>
      <c r="O21">
        <v>4.11233</v>
      </c>
      <c r="P21">
        <v>2.28633</v>
      </c>
      <c r="Q21">
        <v>0.76239999999999997</v>
      </c>
      <c r="R21">
        <v>1.7174199999999999</v>
      </c>
      <c r="S21">
        <v>0.36875000000000002</v>
      </c>
      <c r="T21">
        <v>2.7043599999999999</v>
      </c>
      <c r="U21">
        <v>0.80515000000000003</v>
      </c>
      <c r="V21">
        <v>1.2206625</v>
      </c>
    </row>
    <row r="22" spans="1:22" x14ac:dyDescent="0.3">
      <c r="A22" t="s">
        <v>476</v>
      </c>
      <c r="B22">
        <v>0.27360000000000001</v>
      </c>
      <c r="C22">
        <v>2.2440000000000002E-2</v>
      </c>
      <c r="D22">
        <v>0</v>
      </c>
      <c r="E22">
        <v>3.6490000000000002E-2</v>
      </c>
      <c r="F22">
        <v>1.5575600000000001</v>
      </c>
      <c r="G22">
        <v>0.27318999999999999</v>
      </c>
      <c r="H22">
        <v>2.8379999999999999E-2</v>
      </c>
      <c r="I22">
        <v>0</v>
      </c>
      <c r="J22">
        <v>0.10815</v>
      </c>
      <c r="K22">
        <v>0</v>
      </c>
      <c r="L22">
        <v>0</v>
      </c>
      <c r="M22">
        <v>4.6600000000000001E-3</v>
      </c>
      <c r="N22">
        <v>0.65620000000000001</v>
      </c>
      <c r="O22">
        <v>4.1646200000000002</v>
      </c>
      <c r="P22">
        <v>8.5499799999999997</v>
      </c>
      <c r="Q22">
        <v>0</v>
      </c>
      <c r="R22">
        <v>1.46092</v>
      </c>
      <c r="S22">
        <v>2.9791500000000002</v>
      </c>
      <c r="T22">
        <v>0</v>
      </c>
      <c r="U22">
        <v>0</v>
      </c>
      <c r="V22">
        <v>1.0057670000000001</v>
      </c>
    </row>
    <row r="23" spans="1:22" x14ac:dyDescent="0.3">
      <c r="A23" t="s">
        <v>55</v>
      </c>
      <c r="B23">
        <v>0.92195000000000005</v>
      </c>
      <c r="C23">
        <v>0.67703000000000002</v>
      </c>
      <c r="D23">
        <v>0.31337999999999999</v>
      </c>
      <c r="E23">
        <v>0.46654000000000001</v>
      </c>
      <c r="F23">
        <v>0.64481999999999995</v>
      </c>
      <c r="G23">
        <v>0.66696</v>
      </c>
      <c r="H23">
        <v>0.22563</v>
      </c>
      <c r="I23">
        <v>0.86243999999999998</v>
      </c>
      <c r="J23">
        <v>0.54547999999999996</v>
      </c>
      <c r="K23">
        <v>0.61575999999999997</v>
      </c>
      <c r="L23">
        <v>0.94403000000000004</v>
      </c>
      <c r="M23">
        <v>0.32471</v>
      </c>
      <c r="N23">
        <v>0.92142000000000002</v>
      </c>
      <c r="O23">
        <v>1.1802900000000001</v>
      </c>
      <c r="P23">
        <v>0.79364999999999997</v>
      </c>
      <c r="Q23">
        <v>1.0403100000000001</v>
      </c>
      <c r="R23">
        <v>1.11999</v>
      </c>
      <c r="S23">
        <v>0.42681000000000002</v>
      </c>
      <c r="T23">
        <v>1.0507299999999999</v>
      </c>
      <c r="U23">
        <v>0.59289000000000003</v>
      </c>
      <c r="V23">
        <v>0.71674099999999985</v>
      </c>
    </row>
    <row r="24" spans="1:22" x14ac:dyDescent="0.3">
      <c r="A24" t="s">
        <v>435</v>
      </c>
      <c r="B24">
        <v>0.58542000000000005</v>
      </c>
      <c r="C24">
        <v>0.50561</v>
      </c>
      <c r="D24">
        <v>8.1439999999999999E-2</v>
      </c>
      <c r="E24">
        <v>0.11948</v>
      </c>
      <c r="F24">
        <v>1.08371</v>
      </c>
      <c r="G24">
        <v>1.5379799999999999</v>
      </c>
      <c r="H24">
        <v>8.1339999999999996E-2</v>
      </c>
      <c r="I24">
        <v>0.37705</v>
      </c>
      <c r="J24">
        <v>0.68727000000000005</v>
      </c>
      <c r="K24">
        <v>0.13191</v>
      </c>
      <c r="L24">
        <v>0.58953999999999995</v>
      </c>
      <c r="M24">
        <v>0.78356000000000003</v>
      </c>
      <c r="N24">
        <v>0.35582999999999998</v>
      </c>
      <c r="O24">
        <v>0.25289</v>
      </c>
      <c r="P24">
        <v>0.84023000000000003</v>
      </c>
      <c r="Q24">
        <v>0.52734000000000003</v>
      </c>
      <c r="R24">
        <v>1.0728200000000001</v>
      </c>
      <c r="S24">
        <v>0.16313</v>
      </c>
      <c r="T24">
        <v>0.58687</v>
      </c>
      <c r="U24">
        <v>0.50622</v>
      </c>
      <c r="V24">
        <v>0.54348200000000002</v>
      </c>
    </row>
    <row r="25" spans="1:22" x14ac:dyDescent="0.3">
      <c r="A25" t="s">
        <v>458</v>
      </c>
      <c r="B25">
        <v>0.57676000000000005</v>
      </c>
      <c r="C25">
        <v>6.1699999999999998E-2</v>
      </c>
      <c r="D25">
        <v>0.80391999999999997</v>
      </c>
      <c r="E25">
        <v>0.13730000000000001</v>
      </c>
      <c r="F25">
        <v>0.15259</v>
      </c>
      <c r="G25">
        <v>0.25037999999999999</v>
      </c>
      <c r="H25">
        <v>4.9029999999999997E-2</v>
      </c>
      <c r="I25">
        <v>0.77087000000000006</v>
      </c>
      <c r="J25">
        <v>0</v>
      </c>
      <c r="K25">
        <v>1.52335</v>
      </c>
      <c r="L25">
        <v>0.61009000000000002</v>
      </c>
      <c r="M25">
        <v>0.14474999999999999</v>
      </c>
      <c r="N25">
        <v>1.59693</v>
      </c>
      <c r="O25">
        <v>1.9577</v>
      </c>
      <c r="P25">
        <v>0.30380000000000001</v>
      </c>
      <c r="Q25">
        <v>2.1229999999999999E-2</v>
      </c>
      <c r="R25">
        <v>4.0320000000000002E-2</v>
      </c>
      <c r="S25">
        <v>0.46454000000000001</v>
      </c>
      <c r="T25">
        <v>1.06E-3</v>
      </c>
      <c r="U25">
        <v>1.0610999999999999</v>
      </c>
      <c r="V25">
        <v>0.52637100000000003</v>
      </c>
    </row>
    <row r="26" spans="1:22" x14ac:dyDescent="0.3">
      <c r="A26" t="s">
        <v>488</v>
      </c>
      <c r="B26">
        <v>5.2199999999999998E-3</v>
      </c>
      <c r="C26">
        <v>7.757E-2</v>
      </c>
      <c r="D26">
        <v>0.36062</v>
      </c>
      <c r="E26">
        <v>5.3620000000000001E-2</v>
      </c>
      <c r="F26">
        <v>2.4547400000000001</v>
      </c>
      <c r="G26">
        <v>4.6800000000000001E-3</v>
      </c>
      <c r="H26">
        <v>3.3443700000000001</v>
      </c>
      <c r="I26">
        <v>0.27106000000000002</v>
      </c>
      <c r="J26">
        <v>0.42548999999999998</v>
      </c>
      <c r="K26">
        <v>0</v>
      </c>
      <c r="L26">
        <v>3.16E-3</v>
      </c>
      <c r="M26">
        <v>0</v>
      </c>
      <c r="N26">
        <v>0.77371999999999996</v>
      </c>
      <c r="O26">
        <v>0.76648000000000005</v>
      </c>
      <c r="P26">
        <v>0</v>
      </c>
      <c r="Q26">
        <v>0</v>
      </c>
      <c r="R26">
        <v>9.1900000000000003E-3</v>
      </c>
      <c r="S26">
        <v>0</v>
      </c>
      <c r="T26">
        <v>4.3430000000000003E-2</v>
      </c>
      <c r="U26">
        <v>4.3319999999999997E-2</v>
      </c>
      <c r="V26">
        <v>0.43183350000000004</v>
      </c>
    </row>
    <row r="27" spans="1:22" x14ac:dyDescent="0.3">
      <c r="A27" t="s">
        <v>457</v>
      </c>
      <c r="B27">
        <v>0.72924</v>
      </c>
      <c r="C27">
        <v>0.15919</v>
      </c>
      <c r="D27">
        <v>9.0600000000000003E-3</v>
      </c>
      <c r="E27">
        <v>8.94E-3</v>
      </c>
      <c r="F27">
        <v>0</v>
      </c>
      <c r="G27">
        <v>0</v>
      </c>
      <c r="H27">
        <v>3.7749999999999999E-2</v>
      </c>
      <c r="I27">
        <v>0</v>
      </c>
      <c r="J27">
        <v>0</v>
      </c>
      <c r="K27">
        <v>0.11729000000000001</v>
      </c>
      <c r="L27">
        <v>0.14033000000000001</v>
      </c>
      <c r="M27">
        <v>1.1694199999999999</v>
      </c>
      <c r="N27">
        <v>0.90891999999999995</v>
      </c>
      <c r="O27">
        <v>0.49347000000000002</v>
      </c>
      <c r="P27">
        <v>0.47704000000000002</v>
      </c>
      <c r="Q27">
        <v>0</v>
      </c>
      <c r="R27">
        <v>0</v>
      </c>
      <c r="S27">
        <v>2.93329</v>
      </c>
      <c r="T27">
        <v>0</v>
      </c>
      <c r="U27">
        <v>0</v>
      </c>
      <c r="V27">
        <v>0.35919699999999999</v>
      </c>
    </row>
    <row r="28" spans="1:22" x14ac:dyDescent="0.3">
      <c r="A28" t="s">
        <v>424</v>
      </c>
      <c r="B28">
        <v>5.1740000000000001E-2</v>
      </c>
      <c r="C28">
        <v>0.30987999999999999</v>
      </c>
      <c r="D28">
        <v>0.29482000000000003</v>
      </c>
      <c r="E28">
        <v>0.73811000000000004</v>
      </c>
      <c r="F28">
        <v>0.67144000000000004</v>
      </c>
      <c r="G28">
        <v>0.89951000000000003</v>
      </c>
      <c r="H28">
        <v>0.13127</v>
      </c>
      <c r="I28">
        <v>0.22683</v>
      </c>
      <c r="J28">
        <v>0.2349</v>
      </c>
      <c r="K28">
        <v>0.43995000000000001</v>
      </c>
      <c r="L28">
        <v>0.69296000000000002</v>
      </c>
      <c r="M28">
        <v>8.5100000000000002E-3</v>
      </c>
      <c r="N28">
        <v>0.23207</v>
      </c>
      <c r="O28">
        <v>0.26106000000000001</v>
      </c>
      <c r="P28">
        <v>0.40161000000000002</v>
      </c>
      <c r="Q28">
        <v>0.13338</v>
      </c>
      <c r="R28">
        <v>0.29665999999999998</v>
      </c>
      <c r="S28">
        <v>2.2399999999999998E-3</v>
      </c>
      <c r="T28">
        <v>0.78427999999999998</v>
      </c>
      <c r="U28">
        <v>0.15221999999999999</v>
      </c>
      <c r="V28">
        <v>0.34817199999999998</v>
      </c>
    </row>
    <row r="29" spans="1:22" x14ac:dyDescent="0.3">
      <c r="A29" t="s">
        <v>73</v>
      </c>
      <c r="B29">
        <v>3.3000000000000002E-2</v>
      </c>
      <c r="C29">
        <v>2.7634500000000002</v>
      </c>
      <c r="D29">
        <v>0.25133</v>
      </c>
      <c r="E29">
        <v>5.7729999999999997E-2</v>
      </c>
      <c r="F29">
        <v>7.4859999999999996E-2</v>
      </c>
      <c r="G29">
        <v>0.33638000000000001</v>
      </c>
      <c r="H29">
        <v>1.8429999999999998E-2</v>
      </c>
      <c r="I29">
        <v>0.12044000000000001</v>
      </c>
      <c r="J29">
        <v>0.39792</v>
      </c>
      <c r="K29">
        <v>0.1145</v>
      </c>
      <c r="L29">
        <v>0.27922000000000002</v>
      </c>
      <c r="M29">
        <v>2.9299999999999999E-3</v>
      </c>
      <c r="N29">
        <v>0.11940000000000001</v>
      </c>
      <c r="O29">
        <v>0.35643999999999998</v>
      </c>
      <c r="P29">
        <v>1.5499999999999999E-3</v>
      </c>
      <c r="Q29">
        <v>9.8199999999999996E-2</v>
      </c>
      <c r="R29">
        <v>0.98579000000000006</v>
      </c>
      <c r="S29">
        <v>0.13070000000000001</v>
      </c>
      <c r="T29">
        <v>0</v>
      </c>
      <c r="U29">
        <v>0.57438999999999996</v>
      </c>
      <c r="V29">
        <v>0.33583299999999999</v>
      </c>
    </row>
    <row r="30" spans="1:22" x14ac:dyDescent="0.3">
      <c r="A30" t="s">
        <v>465</v>
      </c>
      <c r="B30">
        <v>0.68793000000000004</v>
      </c>
      <c r="C30">
        <v>0.26528000000000002</v>
      </c>
      <c r="D30">
        <v>0.67386999999999997</v>
      </c>
      <c r="E30">
        <v>0.41337000000000002</v>
      </c>
      <c r="F30">
        <v>0.30529000000000001</v>
      </c>
      <c r="G30">
        <v>0.45691999999999999</v>
      </c>
      <c r="H30">
        <v>0.11018</v>
      </c>
      <c r="I30">
        <v>0.50395999999999996</v>
      </c>
      <c r="J30">
        <v>0</v>
      </c>
      <c r="K30">
        <v>0.48693999999999998</v>
      </c>
      <c r="L30">
        <v>0.24077999999999999</v>
      </c>
      <c r="M30">
        <v>0.23319000000000001</v>
      </c>
      <c r="N30">
        <v>0.29831000000000002</v>
      </c>
      <c r="O30">
        <v>0.32290999999999997</v>
      </c>
      <c r="P30">
        <v>0.31678000000000001</v>
      </c>
      <c r="Q30">
        <v>5.7779999999999998E-2</v>
      </c>
      <c r="R30">
        <v>4.7559999999999998E-2</v>
      </c>
      <c r="S30">
        <v>0.41654000000000002</v>
      </c>
      <c r="T30">
        <v>0.14223</v>
      </c>
      <c r="U30">
        <v>0.13491</v>
      </c>
      <c r="V30">
        <v>0.30573649999999997</v>
      </c>
    </row>
    <row r="31" spans="1:22" x14ac:dyDescent="0.3">
      <c r="A31" t="s">
        <v>429</v>
      </c>
      <c r="B31">
        <v>0.85182999999999998</v>
      </c>
      <c r="C31">
        <v>0</v>
      </c>
      <c r="D31">
        <v>0</v>
      </c>
      <c r="E31">
        <v>5.8259999999999999E-2</v>
      </c>
      <c r="F31">
        <v>3.6290000000000003E-2</v>
      </c>
      <c r="G31">
        <v>0.26084000000000002</v>
      </c>
      <c r="H31">
        <v>9.7970000000000002E-2</v>
      </c>
      <c r="I31">
        <v>1.74522</v>
      </c>
      <c r="J31">
        <v>0.15567</v>
      </c>
      <c r="K31">
        <v>6.6299999999999998E-2</v>
      </c>
      <c r="L31">
        <v>0.62180999999999997</v>
      </c>
      <c r="M31">
        <v>0</v>
      </c>
      <c r="N31">
        <v>0.44436999999999999</v>
      </c>
      <c r="O31">
        <v>0.40321000000000001</v>
      </c>
      <c r="P31">
        <v>0.31502999999999998</v>
      </c>
      <c r="Q31">
        <v>0.12562000000000001</v>
      </c>
      <c r="R31">
        <v>0.52922999999999998</v>
      </c>
      <c r="S31">
        <v>6.966E-2</v>
      </c>
      <c r="T31">
        <v>0</v>
      </c>
      <c r="U31">
        <v>0.28649000000000002</v>
      </c>
      <c r="V31">
        <v>0.30338999999999994</v>
      </c>
    </row>
    <row r="32" spans="1:22" x14ac:dyDescent="0.3">
      <c r="A32" t="s">
        <v>432</v>
      </c>
      <c r="B32">
        <v>0.31689000000000001</v>
      </c>
      <c r="C32">
        <v>1.4109999999999999E-2</v>
      </c>
      <c r="D32">
        <v>4.8599999999999997E-3</v>
      </c>
      <c r="E32">
        <v>7.5100000000000002E-3</v>
      </c>
      <c r="F32">
        <v>0.33861999999999998</v>
      </c>
      <c r="G32">
        <v>0.37325999999999998</v>
      </c>
      <c r="H32">
        <v>7.2539999999999993E-2</v>
      </c>
      <c r="I32">
        <v>0.71884999999999999</v>
      </c>
      <c r="J32">
        <v>0.13148000000000001</v>
      </c>
      <c r="K32">
        <v>0.25611</v>
      </c>
      <c r="L32">
        <v>0.35725000000000001</v>
      </c>
      <c r="M32">
        <v>0</v>
      </c>
      <c r="N32">
        <v>0.29630000000000001</v>
      </c>
      <c r="O32">
        <v>0.76270000000000004</v>
      </c>
      <c r="P32">
        <v>0.14551</v>
      </c>
      <c r="Q32">
        <v>0.11047999999999999</v>
      </c>
      <c r="R32">
        <v>0.33359</v>
      </c>
      <c r="S32">
        <v>7.4990000000000001E-2</v>
      </c>
      <c r="T32">
        <v>0</v>
      </c>
      <c r="U32">
        <v>0.27474999999999999</v>
      </c>
      <c r="V32">
        <v>0.22948999999999997</v>
      </c>
    </row>
    <row r="33" spans="1:22" x14ac:dyDescent="0.3">
      <c r="A33" t="s">
        <v>474</v>
      </c>
      <c r="B33">
        <v>3.338E-2</v>
      </c>
      <c r="C33">
        <v>6.0600000000000003E-3</v>
      </c>
      <c r="D33">
        <v>0.40605000000000002</v>
      </c>
      <c r="E33">
        <v>0</v>
      </c>
      <c r="F33">
        <v>0.17272000000000001</v>
      </c>
      <c r="G33">
        <v>4.8399999999999997E-3</v>
      </c>
      <c r="H33">
        <v>1.8880000000000001E-2</v>
      </c>
      <c r="I33">
        <v>0.15897</v>
      </c>
      <c r="J33">
        <v>3.1710000000000002E-2</v>
      </c>
      <c r="K33">
        <v>8.94E-3</v>
      </c>
      <c r="L33">
        <v>0.13311000000000001</v>
      </c>
      <c r="M33">
        <v>0.18368999999999999</v>
      </c>
      <c r="N33">
        <v>1.4319</v>
      </c>
      <c r="O33">
        <v>0.1298</v>
      </c>
      <c r="P33">
        <v>5.0509999999999999E-2</v>
      </c>
      <c r="Q33">
        <v>1.3834</v>
      </c>
      <c r="R33">
        <v>8.6370000000000002E-2</v>
      </c>
      <c r="S33">
        <v>3.31E-3</v>
      </c>
      <c r="T33">
        <v>0</v>
      </c>
      <c r="U33">
        <v>0.18193000000000001</v>
      </c>
      <c r="V33">
        <v>0.22127849999999999</v>
      </c>
    </row>
    <row r="34" spans="1:22" x14ac:dyDescent="0.3">
      <c r="A34" t="s">
        <v>482</v>
      </c>
      <c r="B34">
        <v>0.36199999999999999</v>
      </c>
      <c r="C34">
        <v>0</v>
      </c>
      <c r="D34">
        <v>0.44736999999999999</v>
      </c>
      <c r="E34">
        <v>0</v>
      </c>
      <c r="F34">
        <v>1.27573</v>
      </c>
      <c r="G34">
        <v>0.18195</v>
      </c>
      <c r="H34">
        <v>9.3200000000000002E-3</v>
      </c>
      <c r="I34">
        <v>4.7899999999999998E-2</v>
      </c>
      <c r="J34">
        <v>0</v>
      </c>
      <c r="K34">
        <v>8.8000000000000005E-3</v>
      </c>
      <c r="L34">
        <v>4.5100000000000001E-3</v>
      </c>
      <c r="M34">
        <v>1.9599999999999999E-3</v>
      </c>
      <c r="N34">
        <v>0.10678</v>
      </c>
      <c r="O34">
        <v>0.18295</v>
      </c>
      <c r="P34">
        <v>0</v>
      </c>
      <c r="Q34">
        <v>1.22126</v>
      </c>
      <c r="R34">
        <v>2.0219999999999998E-2</v>
      </c>
      <c r="S34">
        <v>7.9380000000000006E-2</v>
      </c>
      <c r="T34">
        <v>0.45040000000000002</v>
      </c>
      <c r="U34">
        <v>0</v>
      </c>
      <c r="V34">
        <v>0.22002649999999999</v>
      </c>
    </row>
  </sheetData>
  <phoneticPr fontId="1" type="noConversion"/>
  <conditionalFormatting sqref="A1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workbookViewId="0"/>
  </sheetViews>
  <sheetFormatPr defaultRowHeight="14" x14ac:dyDescent="0.3"/>
  <cols>
    <col min="1" max="1" width="42.25" customWidth="1"/>
  </cols>
  <sheetData>
    <row r="1" spans="1:23" x14ac:dyDescent="0.3">
      <c r="A1" t="s">
        <v>625</v>
      </c>
      <c r="B1" t="s">
        <v>624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1.839E-2</v>
      </c>
      <c r="C2">
        <v>5.8490099999999998</v>
      </c>
      <c r="D2">
        <v>31.62228</v>
      </c>
      <c r="E2">
        <v>36.334829999999997</v>
      </c>
      <c r="F2">
        <v>8.4887499999999996</v>
      </c>
      <c r="G2">
        <v>12.08822</v>
      </c>
      <c r="H2">
        <v>42.94088</v>
      </c>
      <c r="I2">
        <v>7.4400000000000004E-3</v>
      </c>
      <c r="J2">
        <v>21.475840000000002</v>
      </c>
      <c r="K2">
        <v>0.40110000000000001</v>
      </c>
      <c r="L2">
        <v>3.7034099999999999</v>
      </c>
      <c r="M2">
        <v>0</v>
      </c>
      <c r="N2">
        <v>1.9921899999999999</v>
      </c>
      <c r="O2">
        <v>0</v>
      </c>
      <c r="P2">
        <v>4.9163600000000001</v>
      </c>
      <c r="Q2">
        <v>0</v>
      </c>
      <c r="R2">
        <v>0</v>
      </c>
      <c r="S2">
        <v>7.4171199999999997</v>
      </c>
      <c r="T2">
        <v>0</v>
      </c>
      <c r="U2">
        <v>0</v>
      </c>
      <c r="V2">
        <f t="shared" ref="V2:V56" si="0">SUM(B2:U2)</f>
        <v>177.25582</v>
      </c>
      <c r="W2">
        <f t="shared" ref="W2:W56" si="1">V2/20</f>
        <v>8.8627909999999996</v>
      </c>
    </row>
    <row r="3" spans="1:23" x14ac:dyDescent="0.3">
      <c r="A3" t="s">
        <v>24</v>
      </c>
      <c r="B3">
        <v>0</v>
      </c>
      <c r="C3">
        <v>1.77702</v>
      </c>
      <c r="D3">
        <v>5.3460000000000001E-2</v>
      </c>
      <c r="E3">
        <v>0</v>
      </c>
      <c r="F3">
        <v>3.31E-3</v>
      </c>
      <c r="G3">
        <v>1.4400000000000001E-3</v>
      </c>
      <c r="H3">
        <v>0.82633000000000001</v>
      </c>
      <c r="I3">
        <v>11.550230000000001</v>
      </c>
      <c r="J3">
        <v>0</v>
      </c>
      <c r="K3">
        <v>5.1293800000000003</v>
      </c>
      <c r="L3">
        <v>2.1792600000000002</v>
      </c>
      <c r="M3">
        <v>17.077449999999999</v>
      </c>
      <c r="N3">
        <v>44.217680000000001</v>
      </c>
      <c r="O3">
        <v>3.98E-3</v>
      </c>
      <c r="P3">
        <v>8.3786799999999992</v>
      </c>
      <c r="Q3">
        <v>38.359760000000001</v>
      </c>
      <c r="R3">
        <v>0</v>
      </c>
      <c r="S3">
        <v>0</v>
      </c>
      <c r="T3">
        <v>1.97E-3</v>
      </c>
      <c r="U3">
        <v>38.01247</v>
      </c>
      <c r="V3">
        <f t="shared" si="0"/>
        <v>167.57242000000002</v>
      </c>
      <c r="W3">
        <f t="shared" si="1"/>
        <v>8.3786210000000008</v>
      </c>
    </row>
    <row r="4" spans="1:23" x14ac:dyDescent="0.3">
      <c r="A4" t="s">
        <v>25</v>
      </c>
      <c r="B4">
        <v>5.0008499999999998</v>
      </c>
      <c r="C4">
        <v>3.4036499999999998</v>
      </c>
      <c r="D4">
        <v>0.20831</v>
      </c>
      <c r="E4">
        <v>7.93994</v>
      </c>
      <c r="F4">
        <v>7.2153200000000002</v>
      </c>
      <c r="G4">
        <v>3.7906399999999998</v>
      </c>
      <c r="H4">
        <v>1.3884099999999999</v>
      </c>
      <c r="I4">
        <v>5.4315699999999998</v>
      </c>
      <c r="J4">
        <v>0.13783999999999999</v>
      </c>
      <c r="K4">
        <v>6.6571600000000002</v>
      </c>
      <c r="L4">
        <v>3.3645200000000002</v>
      </c>
      <c r="M4">
        <v>7.20425</v>
      </c>
      <c r="N4">
        <v>8.0889799999999994</v>
      </c>
      <c r="O4">
        <v>4.01471</v>
      </c>
      <c r="P4">
        <v>6.5423999999999998</v>
      </c>
      <c r="Q4">
        <v>10.59939</v>
      </c>
      <c r="R4">
        <v>16.0396</v>
      </c>
      <c r="S4">
        <v>6.3670299999999997</v>
      </c>
      <c r="T4">
        <v>4.7184499999999998</v>
      </c>
      <c r="U4">
        <v>9.2157499999999999</v>
      </c>
      <c r="V4">
        <f t="shared" si="0"/>
        <v>117.32876999999999</v>
      </c>
      <c r="W4">
        <f t="shared" si="1"/>
        <v>5.8664384999999992</v>
      </c>
    </row>
    <row r="5" spans="1:23" x14ac:dyDescent="0.3">
      <c r="A5" t="s">
        <v>26</v>
      </c>
      <c r="B5">
        <v>4.1160500000000004</v>
      </c>
      <c r="C5">
        <v>6.2689599999999999</v>
      </c>
      <c r="D5">
        <v>6.3744199999999998</v>
      </c>
      <c r="E5">
        <v>20.839559999999999</v>
      </c>
      <c r="F5">
        <v>13.047359999999999</v>
      </c>
      <c r="G5">
        <v>2.5046599999999999</v>
      </c>
      <c r="H5">
        <v>11.51463</v>
      </c>
      <c r="I5">
        <v>15.97287</v>
      </c>
      <c r="J5">
        <v>5.2777000000000003</v>
      </c>
      <c r="K5">
        <v>0.15359</v>
      </c>
      <c r="L5">
        <v>0.76060000000000005</v>
      </c>
      <c r="M5">
        <v>5.9929999999999997E-2</v>
      </c>
      <c r="N5">
        <v>0.23066999999999999</v>
      </c>
      <c r="O5">
        <v>1.9981800000000001</v>
      </c>
      <c r="P5">
        <v>0.81399999999999995</v>
      </c>
      <c r="Q5">
        <v>0</v>
      </c>
      <c r="R5">
        <v>1.9302299999999999</v>
      </c>
      <c r="S5">
        <v>1.65584</v>
      </c>
      <c r="T5">
        <v>8.8780300000000008</v>
      </c>
      <c r="U5">
        <v>0.11138000000000001</v>
      </c>
      <c r="V5">
        <f t="shared" si="0"/>
        <v>102.50865999999996</v>
      </c>
      <c r="W5">
        <f t="shared" si="1"/>
        <v>5.1254329999999984</v>
      </c>
    </row>
    <row r="6" spans="1:23" x14ac:dyDescent="0.3">
      <c r="A6" t="s">
        <v>27</v>
      </c>
      <c r="B6">
        <v>3.0890000000000001E-2</v>
      </c>
      <c r="C6">
        <v>11.35238</v>
      </c>
      <c r="D6">
        <v>12.200609999999999</v>
      </c>
      <c r="E6">
        <v>2.6739000000000002</v>
      </c>
      <c r="F6">
        <v>1.6696599999999999</v>
      </c>
      <c r="G6">
        <v>0</v>
      </c>
      <c r="H6">
        <v>5.0401699999999998</v>
      </c>
      <c r="I6">
        <v>1.90659</v>
      </c>
      <c r="J6">
        <v>4.7989300000000004</v>
      </c>
      <c r="K6">
        <v>11.81122</v>
      </c>
      <c r="L6">
        <v>4.0352600000000001</v>
      </c>
      <c r="M6">
        <v>1.73813</v>
      </c>
      <c r="N6">
        <v>0.84750999999999999</v>
      </c>
      <c r="O6">
        <v>3.42944</v>
      </c>
      <c r="P6">
        <v>1.2028700000000001</v>
      </c>
      <c r="Q6">
        <v>0.15103</v>
      </c>
      <c r="R6">
        <v>0</v>
      </c>
      <c r="S6">
        <v>0.68547999999999998</v>
      </c>
      <c r="T6">
        <v>0</v>
      </c>
      <c r="U6">
        <v>0.56274999999999997</v>
      </c>
      <c r="V6">
        <f t="shared" si="0"/>
        <v>64.136819999999986</v>
      </c>
      <c r="W6">
        <f t="shared" si="1"/>
        <v>3.2068409999999994</v>
      </c>
    </row>
    <row r="7" spans="1:23" x14ac:dyDescent="0.3">
      <c r="A7" t="s">
        <v>28</v>
      </c>
      <c r="B7">
        <v>0</v>
      </c>
      <c r="C7">
        <v>0.33757999999999999</v>
      </c>
      <c r="D7">
        <v>3.431</v>
      </c>
      <c r="E7">
        <v>4.9324399999999997</v>
      </c>
      <c r="F7">
        <v>0</v>
      </c>
      <c r="G7">
        <v>4.2366700000000002</v>
      </c>
      <c r="H7">
        <v>0.58606000000000003</v>
      </c>
      <c r="I7">
        <v>0</v>
      </c>
      <c r="J7">
        <v>4.9480700000000004</v>
      </c>
      <c r="K7">
        <v>17.357430000000001</v>
      </c>
      <c r="L7">
        <v>0.16242999999999999</v>
      </c>
      <c r="M7">
        <v>2.2803599999999999</v>
      </c>
      <c r="N7">
        <v>4.2468500000000002</v>
      </c>
      <c r="O7">
        <v>0</v>
      </c>
      <c r="P7">
        <v>3.7279399999999998</v>
      </c>
      <c r="Q7">
        <v>0</v>
      </c>
      <c r="R7">
        <v>14.04119</v>
      </c>
      <c r="S7">
        <v>2.58066</v>
      </c>
      <c r="T7">
        <v>0</v>
      </c>
      <c r="U7">
        <v>0</v>
      </c>
      <c r="V7">
        <f t="shared" si="0"/>
        <v>62.868680000000005</v>
      </c>
      <c r="W7">
        <f t="shared" si="1"/>
        <v>3.1434340000000001</v>
      </c>
    </row>
    <row r="8" spans="1:23" x14ac:dyDescent="0.3">
      <c r="A8" t="s">
        <v>29</v>
      </c>
      <c r="B8">
        <v>6.4818699999999998</v>
      </c>
      <c r="C8">
        <v>4.1557599999999999</v>
      </c>
      <c r="D8">
        <v>0.10803</v>
      </c>
      <c r="E8">
        <v>2.65E-3</v>
      </c>
      <c r="F8">
        <v>4.3342999999999998</v>
      </c>
      <c r="G8">
        <v>0.49464000000000002</v>
      </c>
      <c r="H8">
        <v>0.58865000000000001</v>
      </c>
      <c r="I8">
        <v>7.1928299999999998</v>
      </c>
      <c r="J8">
        <v>0.46776000000000001</v>
      </c>
      <c r="K8">
        <v>1.5440100000000001</v>
      </c>
      <c r="L8">
        <v>0.79396</v>
      </c>
      <c r="M8">
        <v>2.8631500000000001</v>
      </c>
      <c r="N8">
        <v>1.86524</v>
      </c>
      <c r="O8">
        <v>3.2228599999999998</v>
      </c>
      <c r="P8">
        <v>9.7595799999999997</v>
      </c>
      <c r="Q8">
        <v>0.66532000000000002</v>
      </c>
      <c r="R8">
        <v>0</v>
      </c>
      <c r="S8">
        <v>0.20355999999999999</v>
      </c>
      <c r="T8">
        <v>14.6493</v>
      </c>
      <c r="U8">
        <v>0</v>
      </c>
      <c r="V8">
        <f t="shared" si="0"/>
        <v>59.393470000000008</v>
      </c>
      <c r="W8">
        <f t="shared" si="1"/>
        <v>2.9696735000000003</v>
      </c>
    </row>
    <row r="9" spans="1:23" x14ac:dyDescent="0.3">
      <c r="A9" t="s">
        <v>30</v>
      </c>
      <c r="B9">
        <v>4.8002599999999997</v>
      </c>
      <c r="C9">
        <v>3.6223399999999999</v>
      </c>
      <c r="D9">
        <v>0.76997000000000004</v>
      </c>
      <c r="E9">
        <v>0.47565000000000002</v>
      </c>
      <c r="F9">
        <v>1.6753899999999999</v>
      </c>
      <c r="G9">
        <v>1.9413199999999999</v>
      </c>
      <c r="H9">
        <v>0.70753999999999995</v>
      </c>
      <c r="I9">
        <v>0.50097999999999998</v>
      </c>
      <c r="J9">
        <v>0.14635999999999999</v>
      </c>
      <c r="K9">
        <v>3.1345900000000002</v>
      </c>
      <c r="L9">
        <v>3.7547299999999999</v>
      </c>
      <c r="M9">
        <v>0.15687999999999999</v>
      </c>
      <c r="N9">
        <v>0.12465</v>
      </c>
      <c r="O9">
        <v>3.28871</v>
      </c>
      <c r="P9">
        <v>1.1798599999999999</v>
      </c>
      <c r="Q9">
        <v>0.41144999999999998</v>
      </c>
      <c r="R9">
        <v>0.58962000000000003</v>
      </c>
      <c r="S9">
        <v>0.16622999999999999</v>
      </c>
      <c r="T9">
        <v>7.0752300000000004</v>
      </c>
      <c r="U9">
        <v>3.79433</v>
      </c>
      <c r="V9">
        <f t="shared" si="0"/>
        <v>38.316090000000003</v>
      </c>
      <c r="W9">
        <f t="shared" si="1"/>
        <v>1.9158045000000001</v>
      </c>
    </row>
    <row r="10" spans="1:23" x14ac:dyDescent="0.3">
      <c r="A10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12.578799999999999</v>
      </c>
      <c r="H10">
        <v>18.714759999999998</v>
      </c>
      <c r="I10">
        <v>1.97E-3</v>
      </c>
      <c r="J10">
        <v>0</v>
      </c>
      <c r="K10">
        <v>1.7758100000000001</v>
      </c>
      <c r="L10">
        <v>0</v>
      </c>
      <c r="M10">
        <v>0</v>
      </c>
      <c r="N10">
        <v>0</v>
      </c>
      <c r="O10">
        <v>0</v>
      </c>
      <c r="P10">
        <v>3.94625</v>
      </c>
      <c r="Q10">
        <v>0</v>
      </c>
      <c r="R10">
        <v>1.413E-2</v>
      </c>
      <c r="S10">
        <v>0.53890000000000005</v>
      </c>
      <c r="T10">
        <v>0</v>
      </c>
      <c r="U10">
        <v>0</v>
      </c>
      <c r="V10">
        <f t="shared" si="0"/>
        <v>37.570619999999998</v>
      </c>
      <c r="W10">
        <f t="shared" si="1"/>
        <v>1.878531</v>
      </c>
    </row>
    <row r="11" spans="1:23" x14ac:dyDescent="0.3">
      <c r="A11" t="s">
        <v>32</v>
      </c>
      <c r="B11">
        <v>5.65869</v>
      </c>
      <c r="C11">
        <v>2.5552199999999998</v>
      </c>
      <c r="D11">
        <v>0.15889</v>
      </c>
      <c r="E11">
        <v>0.25761000000000001</v>
      </c>
      <c r="F11">
        <v>1.7907500000000001</v>
      </c>
      <c r="G11">
        <v>0</v>
      </c>
      <c r="H11">
        <v>1.14981</v>
      </c>
      <c r="I11">
        <v>1.7021299999999999</v>
      </c>
      <c r="J11">
        <v>7.2690000000000005E-2</v>
      </c>
      <c r="K11">
        <v>1.5048600000000001</v>
      </c>
      <c r="L11">
        <v>1.97879</v>
      </c>
      <c r="M11">
        <v>0.63729999999999998</v>
      </c>
      <c r="N11">
        <v>0.45217000000000002</v>
      </c>
      <c r="O11">
        <v>0.11731999999999999</v>
      </c>
      <c r="P11">
        <v>0.25448999999999999</v>
      </c>
      <c r="Q11">
        <v>1.6630100000000001</v>
      </c>
      <c r="R11">
        <v>1.2379800000000001</v>
      </c>
      <c r="S11">
        <v>0.44802999999999998</v>
      </c>
      <c r="T11">
        <v>11.78004</v>
      </c>
      <c r="U11">
        <v>2.5918800000000002</v>
      </c>
      <c r="V11">
        <f t="shared" si="0"/>
        <v>36.011660000000006</v>
      </c>
      <c r="W11">
        <f t="shared" si="1"/>
        <v>1.8005830000000003</v>
      </c>
    </row>
    <row r="12" spans="1:23" x14ac:dyDescent="0.3">
      <c r="A12" t="s">
        <v>33</v>
      </c>
      <c r="B12">
        <v>2.4559999999999998E-2</v>
      </c>
      <c r="C12">
        <v>0.16669999999999999</v>
      </c>
      <c r="D12">
        <v>0.27485999999999999</v>
      </c>
      <c r="E12">
        <v>0.22520999999999999</v>
      </c>
      <c r="F12">
        <v>3.5999999999999999E-3</v>
      </c>
      <c r="G12">
        <v>7.7009999999999995E-2</v>
      </c>
      <c r="H12">
        <v>1.14E-3</v>
      </c>
      <c r="I12">
        <v>6.6400000000000001E-3</v>
      </c>
      <c r="J12">
        <v>0.46653</v>
      </c>
      <c r="K12">
        <v>1.0223800000000001</v>
      </c>
      <c r="L12">
        <v>0</v>
      </c>
      <c r="M12">
        <v>25.06504</v>
      </c>
      <c r="N12">
        <v>8.5199999999999998E-3</v>
      </c>
      <c r="O12">
        <v>1.0500000000000001E-2</v>
      </c>
      <c r="P12">
        <v>1.23E-2</v>
      </c>
      <c r="Q12">
        <v>0.56430000000000002</v>
      </c>
      <c r="R12">
        <v>0.16308</v>
      </c>
      <c r="S12">
        <v>0</v>
      </c>
      <c r="T12">
        <v>6.3207800000000001</v>
      </c>
      <c r="U12">
        <v>4.6100000000000004E-3</v>
      </c>
      <c r="V12">
        <f t="shared" si="0"/>
        <v>34.417760000000001</v>
      </c>
      <c r="W12">
        <f t="shared" si="1"/>
        <v>1.720888</v>
      </c>
    </row>
    <row r="13" spans="1:23" x14ac:dyDescent="0.3">
      <c r="A13" t="s">
        <v>34</v>
      </c>
      <c r="B13">
        <v>1.1868300000000001</v>
      </c>
      <c r="C13">
        <v>1.9695400000000001</v>
      </c>
      <c r="D13">
        <v>4.3802899999999996</v>
      </c>
      <c r="E13">
        <v>4.0488</v>
      </c>
      <c r="F13">
        <v>2.7007300000000001</v>
      </c>
      <c r="G13">
        <v>1.69086</v>
      </c>
      <c r="H13">
        <v>0.25291999999999998</v>
      </c>
      <c r="I13">
        <v>2.1053799999999998</v>
      </c>
      <c r="J13">
        <v>0.97840000000000005</v>
      </c>
      <c r="K13">
        <v>1.29033</v>
      </c>
      <c r="L13">
        <v>2.6184500000000002</v>
      </c>
      <c r="M13">
        <v>1.042E-2</v>
      </c>
      <c r="N13">
        <v>0.93572</v>
      </c>
      <c r="O13">
        <v>0.60462000000000005</v>
      </c>
      <c r="P13">
        <v>1.6148499999999999</v>
      </c>
      <c r="Q13">
        <v>0.85989000000000004</v>
      </c>
      <c r="R13">
        <v>1.2317899999999999</v>
      </c>
      <c r="S13">
        <v>0.84574000000000005</v>
      </c>
      <c r="T13">
        <v>1.94462</v>
      </c>
      <c r="U13">
        <v>0.78322000000000003</v>
      </c>
      <c r="V13">
        <f t="shared" si="0"/>
        <v>32.053400000000003</v>
      </c>
      <c r="W13">
        <f t="shared" si="1"/>
        <v>1.6026700000000003</v>
      </c>
    </row>
    <row r="14" spans="1:23" x14ac:dyDescent="0.3">
      <c r="A14" t="s">
        <v>35</v>
      </c>
      <c r="B14">
        <v>6.33948</v>
      </c>
      <c r="C14">
        <v>0</v>
      </c>
      <c r="D14">
        <v>0.12620999999999999</v>
      </c>
      <c r="E14">
        <v>0.68979000000000001</v>
      </c>
      <c r="F14">
        <v>1.51654</v>
      </c>
      <c r="G14">
        <v>4.0052399999999997</v>
      </c>
      <c r="H14">
        <v>0.70003000000000004</v>
      </c>
      <c r="I14">
        <v>7.7170300000000003</v>
      </c>
      <c r="J14">
        <v>1.3782300000000001</v>
      </c>
      <c r="K14">
        <v>2.30688</v>
      </c>
      <c r="L14">
        <v>1.3682799999999999</v>
      </c>
      <c r="M14">
        <v>8.3800000000000003E-3</v>
      </c>
      <c r="N14">
        <v>1.74865</v>
      </c>
      <c r="O14">
        <v>0.28876000000000002</v>
      </c>
      <c r="P14">
        <v>0</v>
      </c>
      <c r="Q14">
        <v>0.42315999999999998</v>
      </c>
      <c r="R14">
        <v>2.3216700000000001</v>
      </c>
      <c r="S14">
        <v>9.3130000000000004E-2</v>
      </c>
      <c r="T14">
        <v>5.0000000000000001E-3</v>
      </c>
      <c r="U14">
        <v>0.99438000000000004</v>
      </c>
      <c r="V14">
        <f t="shared" si="0"/>
        <v>32.030839999999998</v>
      </c>
      <c r="W14">
        <f t="shared" si="1"/>
        <v>1.6015419999999998</v>
      </c>
    </row>
    <row r="15" spans="1:23" x14ac:dyDescent="0.3">
      <c r="A15" t="s">
        <v>36</v>
      </c>
      <c r="B15">
        <v>6.0507200000000001</v>
      </c>
      <c r="C15">
        <v>0.43264999999999998</v>
      </c>
      <c r="D15">
        <v>4.0620000000000003E-2</v>
      </c>
      <c r="E15">
        <v>0.58340999999999998</v>
      </c>
      <c r="F15">
        <v>3.06359</v>
      </c>
      <c r="G15">
        <v>0.25679000000000002</v>
      </c>
      <c r="H15">
        <v>0.26551999999999998</v>
      </c>
      <c r="I15">
        <v>1.1854100000000001</v>
      </c>
      <c r="J15">
        <v>1.0221199999999999</v>
      </c>
      <c r="K15">
        <v>0.40537000000000001</v>
      </c>
      <c r="L15">
        <v>0.98928000000000005</v>
      </c>
      <c r="M15">
        <v>9.6699999999999998E-3</v>
      </c>
      <c r="N15">
        <v>0.17282</v>
      </c>
      <c r="O15">
        <v>2.8155800000000002</v>
      </c>
      <c r="P15">
        <v>0.94488000000000005</v>
      </c>
      <c r="Q15">
        <v>3.1997900000000001</v>
      </c>
      <c r="R15">
        <v>3.2214</v>
      </c>
      <c r="S15">
        <v>1.02678</v>
      </c>
      <c r="T15">
        <v>4.68567</v>
      </c>
      <c r="U15">
        <v>0.84353</v>
      </c>
      <c r="V15">
        <f t="shared" si="0"/>
        <v>31.215600000000002</v>
      </c>
      <c r="W15">
        <f t="shared" si="1"/>
        <v>1.5607800000000001</v>
      </c>
    </row>
    <row r="16" spans="1:23" x14ac:dyDescent="0.3">
      <c r="A16" t="s">
        <v>37</v>
      </c>
      <c r="B16">
        <v>0</v>
      </c>
      <c r="C16">
        <v>1.3769499999999999</v>
      </c>
      <c r="D16">
        <v>1.1129999999999999E-2</v>
      </c>
      <c r="E16">
        <v>2.8486899999999999</v>
      </c>
      <c r="F16">
        <v>0.59638999999999998</v>
      </c>
      <c r="G16">
        <v>11.824619999999999</v>
      </c>
      <c r="H16">
        <v>0</v>
      </c>
      <c r="I16">
        <v>0</v>
      </c>
      <c r="J16">
        <v>0.39012999999999998</v>
      </c>
      <c r="K16">
        <v>3.2000000000000003E-4</v>
      </c>
      <c r="L16">
        <v>0</v>
      </c>
      <c r="M16">
        <v>0</v>
      </c>
      <c r="N16">
        <v>0</v>
      </c>
      <c r="O16">
        <v>4.4504099999999998</v>
      </c>
      <c r="P16">
        <v>0.74829999999999997</v>
      </c>
      <c r="Q16">
        <v>1.0019999999999999E-2</v>
      </c>
      <c r="R16">
        <v>1.0976900000000001</v>
      </c>
      <c r="S16">
        <v>0.38122</v>
      </c>
      <c r="T16">
        <v>5.0752800000000002</v>
      </c>
      <c r="U16">
        <v>0</v>
      </c>
      <c r="V16">
        <f t="shared" si="0"/>
        <v>28.811149999999994</v>
      </c>
      <c r="W16">
        <f t="shared" si="1"/>
        <v>1.4405574999999997</v>
      </c>
    </row>
    <row r="17" spans="1:23" x14ac:dyDescent="0.3">
      <c r="A17" t="s">
        <v>38</v>
      </c>
      <c r="B17">
        <v>0</v>
      </c>
      <c r="C17">
        <v>0</v>
      </c>
      <c r="D17">
        <v>6.2485200000000001</v>
      </c>
      <c r="E17">
        <v>0.39302999999999999</v>
      </c>
      <c r="F17">
        <v>7.3029999999999998E-2</v>
      </c>
      <c r="G17">
        <v>0</v>
      </c>
      <c r="H17">
        <v>2.4000000000000001E-4</v>
      </c>
      <c r="I17">
        <v>0</v>
      </c>
      <c r="J17">
        <v>3.4578700000000002</v>
      </c>
      <c r="K17">
        <v>1.4102300000000001</v>
      </c>
      <c r="L17">
        <v>15.3704</v>
      </c>
      <c r="M17">
        <v>0</v>
      </c>
      <c r="N17">
        <v>0.53513999999999995</v>
      </c>
      <c r="O17">
        <v>4.1500000000000002E-2</v>
      </c>
      <c r="P17">
        <v>0</v>
      </c>
      <c r="Q17">
        <v>0</v>
      </c>
      <c r="R17">
        <v>0.66237000000000001</v>
      </c>
      <c r="S17">
        <v>1.328E-2</v>
      </c>
      <c r="T17">
        <v>0</v>
      </c>
      <c r="U17">
        <v>0</v>
      </c>
      <c r="V17">
        <f t="shared" si="0"/>
        <v>28.20561</v>
      </c>
      <c r="W17">
        <f t="shared" si="1"/>
        <v>1.4102805</v>
      </c>
    </row>
    <row r="18" spans="1:23" x14ac:dyDescent="0.3">
      <c r="A18" t="s">
        <v>39</v>
      </c>
      <c r="B18">
        <v>1.54034</v>
      </c>
      <c r="C18">
        <v>0.68757999999999997</v>
      </c>
      <c r="D18">
        <v>1.6331800000000001</v>
      </c>
      <c r="E18">
        <v>1.2206900000000001</v>
      </c>
      <c r="F18">
        <v>1.32043</v>
      </c>
      <c r="G18">
        <v>1.16292</v>
      </c>
      <c r="H18">
        <v>0.37825999999999999</v>
      </c>
      <c r="I18">
        <v>1.18956</v>
      </c>
      <c r="J18">
        <v>0</v>
      </c>
      <c r="K18">
        <v>3.1905399999999999</v>
      </c>
      <c r="L18">
        <v>1.1973100000000001</v>
      </c>
      <c r="M18">
        <v>0.37674999999999997</v>
      </c>
      <c r="N18">
        <v>0.97855999999999999</v>
      </c>
      <c r="O18">
        <v>2.9735999999999998</v>
      </c>
      <c r="P18">
        <v>1.2295</v>
      </c>
      <c r="Q18">
        <v>2.0769099999999998</v>
      </c>
      <c r="R18">
        <v>1.6871700000000001</v>
      </c>
      <c r="S18">
        <v>1.0128299999999999</v>
      </c>
      <c r="T18">
        <v>1.9293199999999999</v>
      </c>
      <c r="U18">
        <v>2.2152799999999999</v>
      </c>
      <c r="V18">
        <f t="shared" si="0"/>
        <v>28.000730000000008</v>
      </c>
      <c r="W18">
        <f t="shared" si="1"/>
        <v>1.4000365000000004</v>
      </c>
    </row>
    <row r="19" spans="1:23" x14ac:dyDescent="0.3">
      <c r="A19" t="s">
        <v>40</v>
      </c>
      <c r="B19">
        <v>0.83655999999999997</v>
      </c>
      <c r="C19">
        <v>9.8378499999999995</v>
      </c>
      <c r="D19">
        <v>1.0911</v>
      </c>
      <c r="E19">
        <v>0.33459</v>
      </c>
      <c r="F19">
        <v>0.91585000000000005</v>
      </c>
      <c r="G19">
        <v>0.83140000000000003</v>
      </c>
      <c r="H19">
        <v>6.9320000000000007E-2</v>
      </c>
      <c r="I19">
        <v>0.29631999999999997</v>
      </c>
      <c r="J19">
        <v>1.3674999999999999</v>
      </c>
      <c r="K19">
        <v>1.3116000000000001</v>
      </c>
      <c r="L19">
        <v>3.9227500000000002</v>
      </c>
      <c r="M19">
        <v>0.92317000000000005</v>
      </c>
      <c r="N19">
        <v>0.36703000000000002</v>
      </c>
      <c r="O19">
        <v>0.45440999999999998</v>
      </c>
      <c r="P19">
        <v>1.55264</v>
      </c>
      <c r="Q19">
        <v>0.34634999999999999</v>
      </c>
      <c r="R19">
        <v>0.86892999999999998</v>
      </c>
      <c r="S19">
        <v>0.55976999999999999</v>
      </c>
      <c r="T19">
        <v>0.76832</v>
      </c>
      <c r="U19">
        <v>0.30073</v>
      </c>
      <c r="V19">
        <f t="shared" si="0"/>
        <v>26.956189999999999</v>
      </c>
      <c r="W19">
        <f t="shared" si="1"/>
        <v>1.3478094999999999</v>
      </c>
    </row>
    <row r="20" spans="1:23" x14ac:dyDescent="0.3">
      <c r="A20" t="s">
        <v>41</v>
      </c>
      <c r="B20">
        <v>0.36842999999999998</v>
      </c>
      <c r="C20">
        <v>3.3693599999999999</v>
      </c>
      <c r="D20">
        <v>1.6683600000000001</v>
      </c>
      <c r="E20">
        <v>3.1271900000000001</v>
      </c>
      <c r="F20">
        <v>1.8172600000000001</v>
      </c>
      <c r="G20">
        <v>1.0903099999999999</v>
      </c>
      <c r="H20">
        <v>0.25999</v>
      </c>
      <c r="I20">
        <v>1.19787</v>
      </c>
      <c r="J20">
        <v>3.3648600000000002</v>
      </c>
      <c r="K20">
        <v>1.2445299999999999</v>
      </c>
      <c r="L20">
        <v>0.79891000000000001</v>
      </c>
      <c r="M20">
        <v>1.11063</v>
      </c>
      <c r="N20">
        <v>0.74653000000000003</v>
      </c>
      <c r="O20">
        <v>1.3267899999999999</v>
      </c>
      <c r="P20">
        <v>0.81455</v>
      </c>
      <c r="Q20">
        <v>0.50609999999999999</v>
      </c>
      <c r="R20">
        <v>0.45860000000000001</v>
      </c>
      <c r="S20">
        <v>0.49636999999999998</v>
      </c>
      <c r="T20">
        <v>0.18956999999999999</v>
      </c>
      <c r="U20">
        <v>2.3652799999999998</v>
      </c>
      <c r="V20">
        <f t="shared" si="0"/>
        <v>26.321489999999997</v>
      </c>
      <c r="W20">
        <f t="shared" si="1"/>
        <v>1.3160744999999998</v>
      </c>
    </row>
    <row r="21" spans="1:23" x14ac:dyDescent="0.3">
      <c r="A21" t="s">
        <v>42</v>
      </c>
      <c r="B21">
        <v>6.9451400000000003</v>
      </c>
      <c r="C21">
        <v>0</v>
      </c>
      <c r="D21">
        <v>0</v>
      </c>
      <c r="E21">
        <v>0</v>
      </c>
      <c r="F21">
        <v>4.4257099999999996</v>
      </c>
      <c r="G21">
        <v>0</v>
      </c>
      <c r="H21">
        <v>0.12715000000000001</v>
      </c>
      <c r="I21">
        <v>1.21129</v>
      </c>
      <c r="J21">
        <v>4.0009999999999997E-2</v>
      </c>
      <c r="K21">
        <v>0.33084999999999998</v>
      </c>
      <c r="L21">
        <v>0.95189999999999997</v>
      </c>
      <c r="M21">
        <v>0</v>
      </c>
      <c r="N21">
        <v>0.14087</v>
      </c>
      <c r="O21">
        <v>1.44991</v>
      </c>
      <c r="P21">
        <v>0.18553</v>
      </c>
      <c r="Q21">
        <v>5.1260000000000003</v>
      </c>
      <c r="R21">
        <v>1.62738</v>
      </c>
      <c r="S21">
        <v>1.0301899999999999</v>
      </c>
      <c r="T21">
        <v>0</v>
      </c>
      <c r="U21">
        <v>1.71994</v>
      </c>
      <c r="V21">
        <f t="shared" si="0"/>
        <v>25.311870000000003</v>
      </c>
      <c r="W21">
        <f t="shared" si="1"/>
        <v>1.2655935</v>
      </c>
    </row>
    <row r="22" spans="1:23" x14ac:dyDescent="0.3">
      <c r="A22" t="s">
        <v>43</v>
      </c>
      <c r="B22">
        <v>0</v>
      </c>
      <c r="C22">
        <v>0</v>
      </c>
      <c r="D22">
        <v>3.9289999999999999E-2</v>
      </c>
      <c r="E22">
        <v>0.42509000000000002</v>
      </c>
      <c r="F22">
        <v>8.1122599999999991</v>
      </c>
      <c r="G22">
        <v>0</v>
      </c>
      <c r="H22">
        <v>0.15540000000000001</v>
      </c>
      <c r="I22">
        <v>0</v>
      </c>
      <c r="J22">
        <v>3.261E-2</v>
      </c>
      <c r="K22">
        <v>0.52858000000000005</v>
      </c>
      <c r="L22">
        <v>1.6289499999999999</v>
      </c>
      <c r="M22">
        <v>0.70886000000000005</v>
      </c>
      <c r="N22">
        <v>1.5750200000000001</v>
      </c>
      <c r="O22">
        <v>7.9299999999999995E-2</v>
      </c>
      <c r="P22">
        <v>1.8455299999999999</v>
      </c>
      <c r="Q22">
        <v>0</v>
      </c>
      <c r="R22">
        <v>1.55568</v>
      </c>
      <c r="S22">
        <v>1.7271000000000001</v>
      </c>
      <c r="T22">
        <v>0</v>
      </c>
      <c r="U22">
        <v>6.7474499999999997</v>
      </c>
      <c r="V22">
        <f t="shared" si="0"/>
        <v>25.16112</v>
      </c>
      <c r="W22">
        <f t="shared" si="1"/>
        <v>1.2580560000000001</v>
      </c>
    </row>
    <row r="23" spans="1:23" x14ac:dyDescent="0.3">
      <c r="A23" t="s">
        <v>44</v>
      </c>
      <c r="B23">
        <v>1.17381</v>
      </c>
      <c r="C23">
        <v>1.8777200000000001</v>
      </c>
      <c r="D23">
        <v>3.4596800000000001</v>
      </c>
      <c r="E23">
        <v>0.76317000000000002</v>
      </c>
      <c r="F23">
        <v>0.33518999999999999</v>
      </c>
      <c r="G23">
        <v>2.26769</v>
      </c>
      <c r="H23">
        <v>0.15101000000000001</v>
      </c>
      <c r="I23">
        <v>1.52643</v>
      </c>
      <c r="J23">
        <v>6.9800000000000001E-2</v>
      </c>
      <c r="K23">
        <v>0.62094000000000005</v>
      </c>
      <c r="L23">
        <v>0.32840000000000003</v>
      </c>
      <c r="M23">
        <v>2.12418</v>
      </c>
      <c r="N23">
        <v>0.31046000000000001</v>
      </c>
      <c r="O23">
        <v>1.3213999999999999</v>
      </c>
      <c r="P23">
        <v>0.91742999999999997</v>
      </c>
      <c r="Q23">
        <v>2.1868400000000001</v>
      </c>
      <c r="R23">
        <v>0.93942999999999999</v>
      </c>
      <c r="S23">
        <v>0.95887</v>
      </c>
      <c r="T23">
        <v>2.0608499999999998</v>
      </c>
      <c r="U23">
        <v>1.1957599999999999</v>
      </c>
      <c r="V23">
        <f t="shared" si="0"/>
        <v>24.58906</v>
      </c>
      <c r="W23">
        <f t="shared" si="1"/>
        <v>1.2294529999999999</v>
      </c>
    </row>
    <row r="24" spans="1:23" x14ac:dyDescent="0.3">
      <c r="A24" t="s">
        <v>45</v>
      </c>
      <c r="B24">
        <v>0.35370000000000001</v>
      </c>
      <c r="C24">
        <v>0.98785000000000001</v>
      </c>
      <c r="D24">
        <v>3.2059299999999999</v>
      </c>
      <c r="E24">
        <v>0.80506999999999995</v>
      </c>
      <c r="F24">
        <v>0.97563999999999995</v>
      </c>
      <c r="G24">
        <v>0.72738000000000003</v>
      </c>
      <c r="H24">
        <v>0.31102999999999997</v>
      </c>
      <c r="I24">
        <v>0.59931999999999996</v>
      </c>
      <c r="J24">
        <v>0.44599</v>
      </c>
      <c r="K24">
        <v>0.87133000000000005</v>
      </c>
      <c r="L24">
        <v>1.8251200000000001</v>
      </c>
      <c r="M24">
        <v>0.28304000000000001</v>
      </c>
      <c r="N24">
        <v>0.26511000000000001</v>
      </c>
      <c r="O24">
        <v>4.11233</v>
      </c>
      <c r="P24">
        <v>2.28633</v>
      </c>
      <c r="Q24">
        <v>0.76239999999999997</v>
      </c>
      <c r="R24">
        <v>1.7174199999999999</v>
      </c>
      <c r="S24">
        <v>0.36875000000000002</v>
      </c>
      <c r="T24">
        <v>2.68784</v>
      </c>
      <c r="U24">
        <v>0.80515000000000003</v>
      </c>
      <c r="V24">
        <f t="shared" si="0"/>
        <v>24.396730000000002</v>
      </c>
      <c r="W24">
        <f t="shared" si="1"/>
        <v>1.2198365</v>
      </c>
    </row>
    <row r="25" spans="1:23" x14ac:dyDescent="0.3">
      <c r="A25" t="s">
        <v>46</v>
      </c>
      <c r="B25">
        <v>0</v>
      </c>
      <c r="C25">
        <v>0</v>
      </c>
      <c r="D25">
        <v>2.189E-2</v>
      </c>
      <c r="E25">
        <v>0</v>
      </c>
      <c r="F25">
        <v>0</v>
      </c>
      <c r="G25">
        <v>0</v>
      </c>
      <c r="H25">
        <v>0.90810000000000002</v>
      </c>
      <c r="I25">
        <v>0.15436</v>
      </c>
      <c r="J25">
        <v>1.221E-2</v>
      </c>
      <c r="K25">
        <v>0</v>
      </c>
      <c r="L25">
        <v>0.21177000000000001</v>
      </c>
      <c r="M25">
        <v>6.0602499999999999</v>
      </c>
      <c r="N25">
        <v>1.6230000000000001E-2</v>
      </c>
      <c r="O25">
        <v>0</v>
      </c>
      <c r="P25">
        <v>0</v>
      </c>
      <c r="Q25">
        <v>0</v>
      </c>
      <c r="R25">
        <v>0</v>
      </c>
      <c r="S25">
        <v>16.713329999999999</v>
      </c>
      <c r="T25">
        <v>0</v>
      </c>
      <c r="U25">
        <v>0</v>
      </c>
      <c r="V25">
        <f t="shared" si="0"/>
        <v>24.098140000000001</v>
      </c>
      <c r="W25">
        <f t="shared" si="1"/>
        <v>1.204907</v>
      </c>
    </row>
    <row r="26" spans="1:23" x14ac:dyDescent="0.3">
      <c r="A26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9.1259999999999994E-2</v>
      </c>
      <c r="I26">
        <v>4.1869999999999997E-2</v>
      </c>
      <c r="J26">
        <v>6.4999999999999997E-3</v>
      </c>
      <c r="K26">
        <v>0</v>
      </c>
      <c r="L26">
        <v>5.3100000000000001E-2</v>
      </c>
      <c r="M26">
        <v>0.81008999999999998</v>
      </c>
      <c r="N26">
        <v>4.2300000000000003E-3</v>
      </c>
      <c r="O26">
        <v>0</v>
      </c>
      <c r="P26">
        <v>0</v>
      </c>
      <c r="Q26">
        <v>0</v>
      </c>
      <c r="R26">
        <v>0</v>
      </c>
      <c r="S26">
        <v>22.220749999999999</v>
      </c>
      <c r="T26">
        <v>0</v>
      </c>
      <c r="U26">
        <v>0</v>
      </c>
      <c r="V26">
        <f t="shared" si="0"/>
        <v>23.227799999999998</v>
      </c>
      <c r="W26">
        <f t="shared" si="1"/>
        <v>1.1613899999999999</v>
      </c>
    </row>
    <row r="27" spans="1:23" x14ac:dyDescent="0.3">
      <c r="A27" t="s">
        <v>48</v>
      </c>
      <c r="B27">
        <v>0.68811999999999995</v>
      </c>
      <c r="C27">
        <v>2.7231000000000001</v>
      </c>
      <c r="D27">
        <v>0.59411999999999998</v>
      </c>
      <c r="E27">
        <v>0.46031</v>
      </c>
      <c r="F27">
        <v>0.69986000000000004</v>
      </c>
      <c r="G27">
        <v>0.33105000000000001</v>
      </c>
      <c r="H27">
        <v>0.33049000000000001</v>
      </c>
      <c r="I27">
        <v>0.77092000000000005</v>
      </c>
      <c r="J27">
        <v>0</v>
      </c>
      <c r="K27">
        <v>1.4170700000000001</v>
      </c>
      <c r="L27">
        <v>0.96955999999999998</v>
      </c>
      <c r="M27">
        <v>1.0278700000000001</v>
      </c>
      <c r="N27">
        <v>2.10921</v>
      </c>
      <c r="O27">
        <v>3.1358199999999998</v>
      </c>
      <c r="P27">
        <v>1.33162</v>
      </c>
      <c r="Q27">
        <v>7.6170000000000002E-2</v>
      </c>
      <c r="R27">
        <v>2.9714200000000002</v>
      </c>
      <c r="S27">
        <v>0.92391000000000001</v>
      </c>
      <c r="T27">
        <v>0.28688999999999998</v>
      </c>
      <c r="U27">
        <v>1.9182300000000001</v>
      </c>
      <c r="V27">
        <f t="shared" si="0"/>
        <v>22.765740000000001</v>
      </c>
      <c r="W27">
        <f t="shared" si="1"/>
        <v>1.138287</v>
      </c>
    </row>
    <row r="28" spans="1:23" x14ac:dyDescent="0.3">
      <c r="A28" t="s">
        <v>49</v>
      </c>
      <c r="B28">
        <v>2.0150199999999998</v>
      </c>
      <c r="C28">
        <v>2.2126199999999998</v>
      </c>
      <c r="D28">
        <v>7.8100000000000001E-3</v>
      </c>
      <c r="E28">
        <v>2.1059999999999999E-2</v>
      </c>
      <c r="F28">
        <v>2.9730300000000001</v>
      </c>
      <c r="G28">
        <v>1.8837600000000001</v>
      </c>
      <c r="H28">
        <v>0.25269000000000003</v>
      </c>
      <c r="I28">
        <v>1.3944000000000001</v>
      </c>
      <c r="J28">
        <v>1.5939999999999999E-2</v>
      </c>
      <c r="K28">
        <v>2.5460400000000001</v>
      </c>
      <c r="L28">
        <v>1.3245</v>
      </c>
      <c r="M28">
        <v>0.19366</v>
      </c>
      <c r="N28">
        <v>0.48624000000000001</v>
      </c>
      <c r="O28">
        <v>0.24206</v>
      </c>
      <c r="P28">
        <v>2.15225</v>
      </c>
      <c r="Q28">
        <v>0.24010999999999999</v>
      </c>
      <c r="R28">
        <v>2.9419300000000002</v>
      </c>
      <c r="S28">
        <v>0.36570999999999998</v>
      </c>
      <c r="T28">
        <v>1.2999999999999999E-4</v>
      </c>
      <c r="U28">
        <v>1.2163600000000001</v>
      </c>
      <c r="V28">
        <f t="shared" si="0"/>
        <v>22.485320000000002</v>
      </c>
      <c r="W28">
        <f t="shared" si="1"/>
        <v>1.124266</v>
      </c>
    </row>
    <row r="29" spans="1:23" x14ac:dyDescent="0.3">
      <c r="A29" t="s">
        <v>50</v>
      </c>
      <c r="B29">
        <v>0</v>
      </c>
      <c r="C29">
        <v>2.2440000000000002E-2</v>
      </c>
      <c r="D29">
        <v>0</v>
      </c>
      <c r="E29">
        <v>0</v>
      </c>
      <c r="F29">
        <v>1.5575600000000001</v>
      </c>
      <c r="G29">
        <v>0.27318999999999999</v>
      </c>
      <c r="H29">
        <v>0</v>
      </c>
      <c r="I29">
        <v>0</v>
      </c>
      <c r="J29">
        <v>0.10815</v>
      </c>
      <c r="K29">
        <v>0</v>
      </c>
      <c r="L29">
        <v>0</v>
      </c>
      <c r="M29">
        <v>0</v>
      </c>
      <c r="N29">
        <v>0</v>
      </c>
      <c r="O29">
        <v>4.1646200000000002</v>
      </c>
      <c r="P29">
        <v>8.5499799999999997</v>
      </c>
      <c r="Q29">
        <v>0</v>
      </c>
      <c r="R29">
        <v>1.46092</v>
      </c>
      <c r="S29">
        <v>2.9791500000000002</v>
      </c>
      <c r="T29">
        <v>0</v>
      </c>
      <c r="U29">
        <v>0</v>
      </c>
      <c r="V29">
        <f t="shared" si="0"/>
        <v>19.116010000000003</v>
      </c>
      <c r="W29">
        <f t="shared" si="1"/>
        <v>0.95580050000000016</v>
      </c>
    </row>
    <row r="30" spans="1:23" x14ac:dyDescent="0.3">
      <c r="A30" t="s">
        <v>51</v>
      </c>
      <c r="B30">
        <v>4.1656899999999997</v>
      </c>
      <c r="C30">
        <v>0</v>
      </c>
      <c r="D30">
        <v>0.22633</v>
      </c>
      <c r="E30">
        <v>0.12640999999999999</v>
      </c>
      <c r="F30">
        <v>0</v>
      </c>
      <c r="G30">
        <v>1.9212199999999999</v>
      </c>
      <c r="H30">
        <v>4.9399999999999999E-2</v>
      </c>
      <c r="I30">
        <v>0.50560000000000005</v>
      </c>
      <c r="J30">
        <v>0</v>
      </c>
      <c r="K30">
        <v>0</v>
      </c>
      <c r="L30">
        <v>5.6899999999999999E-2</v>
      </c>
      <c r="M30">
        <v>2.1729999999999999E-2</v>
      </c>
      <c r="N30">
        <v>5.604E-2</v>
      </c>
      <c r="O30">
        <v>8.3487799999999996</v>
      </c>
      <c r="P30">
        <v>4.0070000000000001E-2</v>
      </c>
      <c r="Q30">
        <v>0</v>
      </c>
      <c r="R30">
        <v>2.6294900000000001</v>
      </c>
      <c r="S30">
        <v>0.76122000000000001</v>
      </c>
      <c r="T30">
        <v>0</v>
      </c>
      <c r="U30">
        <v>0</v>
      </c>
      <c r="V30">
        <f t="shared" si="0"/>
        <v>18.90888</v>
      </c>
      <c r="W30">
        <f t="shared" si="1"/>
        <v>0.94544399999999995</v>
      </c>
    </row>
    <row r="31" spans="1:23" x14ac:dyDescent="0.3">
      <c r="A31" t="s">
        <v>52</v>
      </c>
      <c r="B31">
        <v>3.0044200000000001</v>
      </c>
      <c r="C31">
        <v>0</v>
      </c>
      <c r="D31">
        <v>0</v>
      </c>
      <c r="E31">
        <v>0</v>
      </c>
      <c r="F31">
        <v>0</v>
      </c>
      <c r="G31">
        <v>3.1573500000000001</v>
      </c>
      <c r="H31">
        <v>0</v>
      </c>
      <c r="I31">
        <v>0</v>
      </c>
      <c r="J31">
        <v>0</v>
      </c>
      <c r="K31">
        <v>5.6428799999999999</v>
      </c>
      <c r="L31">
        <v>1.18679</v>
      </c>
      <c r="M31">
        <v>7.0000000000000001E-3</v>
      </c>
      <c r="N31">
        <v>0</v>
      </c>
      <c r="O31">
        <v>0.44619999999999999</v>
      </c>
      <c r="P31">
        <v>0.39812999999999998</v>
      </c>
      <c r="Q31">
        <v>1.5938600000000001</v>
      </c>
      <c r="R31">
        <v>2.8628100000000001</v>
      </c>
      <c r="S31">
        <v>0</v>
      </c>
      <c r="T31">
        <v>0</v>
      </c>
      <c r="U31">
        <v>0</v>
      </c>
      <c r="V31">
        <f t="shared" si="0"/>
        <v>18.299440000000001</v>
      </c>
      <c r="W31">
        <f t="shared" si="1"/>
        <v>0.91497200000000001</v>
      </c>
    </row>
    <row r="32" spans="1:23" x14ac:dyDescent="0.3">
      <c r="A32" t="s">
        <v>53</v>
      </c>
      <c r="B32">
        <v>2.3959999999999999E-2</v>
      </c>
      <c r="C32">
        <v>1.11165</v>
      </c>
      <c r="D32">
        <v>0</v>
      </c>
      <c r="E32">
        <v>8.2379999999999995E-2</v>
      </c>
      <c r="F32">
        <v>0.25374999999999998</v>
      </c>
      <c r="G32">
        <v>0.23365</v>
      </c>
      <c r="H32">
        <v>0.15175</v>
      </c>
      <c r="I32">
        <v>0.14188999999999999</v>
      </c>
      <c r="J32">
        <v>5.3289999999999997E-2</v>
      </c>
      <c r="K32">
        <v>1.44028</v>
      </c>
      <c r="L32">
        <v>4.0331000000000001</v>
      </c>
      <c r="M32">
        <v>0.44751000000000002</v>
      </c>
      <c r="N32">
        <v>0.88768000000000002</v>
      </c>
      <c r="O32">
        <v>0.72882999999999998</v>
      </c>
      <c r="P32">
        <v>1.45827</v>
      </c>
      <c r="Q32">
        <v>0</v>
      </c>
      <c r="R32">
        <v>0.23655000000000001</v>
      </c>
      <c r="S32">
        <v>0.36247000000000001</v>
      </c>
      <c r="T32">
        <v>0</v>
      </c>
      <c r="U32">
        <v>4.54514</v>
      </c>
      <c r="V32">
        <f t="shared" si="0"/>
        <v>16.192150000000002</v>
      </c>
      <c r="W32">
        <f t="shared" si="1"/>
        <v>0.80960750000000004</v>
      </c>
    </row>
    <row r="33" spans="1:23" x14ac:dyDescent="0.3">
      <c r="A33" t="s">
        <v>54</v>
      </c>
      <c r="B33">
        <v>0.12712999999999999</v>
      </c>
      <c r="C33">
        <v>0</v>
      </c>
      <c r="D33">
        <v>1.6729999999999998E-2</v>
      </c>
      <c r="E33">
        <v>4.0120000000000003E-2</v>
      </c>
      <c r="F33">
        <v>4.1270000000000001E-2</v>
      </c>
      <c r="G33">
        <v>1.7498199999999999</v>
      </c>
      <c r="H33">
        <v>0.12293999999999999</v>
      </c>
      <c r="I33">
        <v>2.3359999999999999E-2</v>
      </c>
      <c r="J33">
        <v>0</v>
      </c>
      <c r="K33">
        <v>3.1460000000000002E-2</v>
      </c>
      <c r="L33">
        <v>6.7600000000000004E-3</v>
      </c>
      <c r="M33">
        <v>0</v>
      </c>
      <c r="N33">
        <v>0.11144999999999999</v>
      </c>
      <c r="O33">
        <v>1.20092</v>
      </c>
      <c r="P33">
        <v>0.21612000000000001</v>
      </c>
      <c r="Q33">
        <v>0.21773000000000001</v>
      </c>
      <c r="R33">
        <v>3.1600100000000002</v>
      </c>
      <c r="S33">
        <v>4.7559999999999998E-2</v>
      </c>
      <c r="T33">
        <v>7.7092799999999997</v>
      </c>
      <c r="U33">
        <v>0.18010000000000001</v>
      </c>
      <c r="V33">
        <f t="shared" si="0"/>
        <v>15.002759999999999</v>
      </c>
      <c r="W33">
        <f t="shared" si="1"/>
        <v>0.75013799999999997</v>
      </c>
    </row>
    <row r="34" spans="1:23" x14ac:dyDescent="0.3">
      <c r="A34" t="s">
        <v>55</v>
      </c>
      <c r="B34">
        <v>0.92195000000000005</v>
      </c>
      <c r="C34">
        <v>0.67703000000000002</v>
      </c>
      <c r="D34">
        <v>0.31337999999999999</v>
      </c>
      <c r="E34">
        <v>0.46654000000000001</v>
      </c>
      <c r="F34">
        <v>0.64481999999999995</v>
      </c>
      <c r="G34">
        <v>0.66696</v>
      </c>
      <c r="H34">
        <v>0.22563</v>
      </c>
      <c r="I34">
        <v>0.86243999999999998</v>
      </c>
      <c r="J34">
        <v>0.54547999999999996</v>
      </c>
      <c r="K34">
        <v>0.61575999999999997</v>
      </c>
      <c r="L34">
        <v>0.94403000000000004</v>
      </c>
      <c r="M34">
        <v>0.32471</v>
      </c>
      <c r="N34">
        <v>0.92142000000000002</v>
      </c>
      <c r="O34">
        <v>1.1802900000000001</v>
      </c>
      <c r="P34">
        <v>0.79364999999999997</v>
      </c>
      <c r="Q34">
        <v>1.0403100000000001</v>
      </c>
      <c r="R34">
        <v>1.11999</v>
      </c>
      <c r="S34">
        <v>0.42681000000000002</v>
      </c>
      <c r="T34">
        <v>1.0507299999999999</v>
      </c>
      <c r="U34">
        <v>0.59289000000000003</v>
      </c>
      <c r="V34">
        <f t="shared" si="0"/>
        <v>14.334819999999997</v>
      </c>
      <c r="W34">
        <f t="shared" si="1"/>
        <v>0.71674099999999985</v>
      </c>
    </row>
    <row r="35" spans="1:23" x14ac:dyDescent="0.3">
      <c r="A35" t="s">
        <v>56</v>
      </c>
      <c r="B35">
        <v>1.9816800000000001</v>
      </c>
      <c r="C35">
        <v>0</v>
      </c>
      <c r="D35">
        <v>0.66425999999999996</v>
      </c>
      <c r="E35">
        <v>5.935E-2</v>
      </c>
      <c r="F35">
        <v>3.8999999999999999E-4</v>
      </c>
      <c r="G35">
        <v>0</v>
      </c>
      <c r="H35">
        <v>0.21848999999999999</v>
      </c>
      <c r="I35">
        <v>2.7430599999999998</v>
      </c>
      <c r="J35">
        <v>0</v>
      </c>
      <c r="K35">
        <v>0</v>
      </c>
      <c r="L35">
        <v>2.31894</v>
      </c>
      <c r="M35">
        <v>0.80317000000000005</v>
      </c>
      <c r="N35">
        <v>1.3497399999999999</v>
      </c>
      <c r="O35">
        <v>1.0757300000000001</v>
      </c>
      <c r="P35">
        <v>0</v>
      </c>
      <c r="Q35">
        <v>0.65217000000000003</v>
      </c>
      <c r="R35">
        <v>1.4834099999999999</v>
      </c>
      <c r="S35">
        <v>0</v>
      </c>
      <c r="T35">
        <v>0</v>
      </c>
      <c r="U35">
        <v>0.87121000000000004</v>
      </c>
      <c r="V35">
        <f t="shared" si="0"/>
        <v>14.221599999999999</v>
      </c>
      <c r="W35">
        <f t="shared" si="1"/>
        <v>0.71107999999999993</v>
      </c>
    </row>
    <row r="36" spans="1:23" x14ac:dyDescent="0.3">
      <c r="A36" t="s">
        <v>57</v>
      </c>
      <c r="B36">
        <v>1.1557299999999999</v>
      </c>
      <c r="C36">
        <v>1.5626500000000001</v>
      </c>
      <c r="D36">
        <v>0.92498999999999998</v>
      </c>
      <c r="E36">
        <v>0.25362000000000001</v>
      </c>
      <c r="F36">
        <v>0</v>
      </c>
      <c r="G36">
        <v>0.30732999999999999</v>
      </c>
      <c r="H36">
        <v>3.8699999999999998E-2</v>
      </c>
      <c r="I36">
        <v>0.28275</v>
      </c>
      <c r="J36">
        <v>0</v>
      </c>
      <c r="K36">
        <v>0.81430999999999998</v>
      </c>
      <c r="L36">
        <v>0.48743999999999998</v>
      </c>
      <c r="M36">
        <v>0.64071999999999996</v>
      </c>
      <c r="N36">
        <v>0.62709999999999999</v>
      </c>
      <c r="O36">
        <v>1.34728</v>
      </c>
      <c r="P36">
        <v>0.89302000000000004</v>
      </c>
      <c r="Q36">
        <v>1.44008</v>
      </c>
      <c r="R36">
        <v>0.43289</v>
      </c>
      <c r="S36">
        <v>0.42504999999999998</v>
      </c>
      <c r="T36">
        <v>0.78325999999999996</v>
      </c>
      <c r="U36">
        <v>0.66510999999999998</v>
      </c>
      <c r="V36">
        <f t="shared" si="0"/>
        <v>13.082030000000001</v>
      </c>
      <c r="W36">
        <f t="shared" si="1"/>
        <v>0.65410150000000011</v>
      </c>
    </row>
    <row r="37" spans="1:23" x14ac:dyDescent="0.3">
      <c r="A37" t="s">
        <v>58</v>
      </c>
      <c r="B37">
        <v>0.71040000000000003</v>
      </c>
      <c r="C37">
        <v>1.7416100000000001</v>
      </c>
      <c r="D37">
        <v>1.56026</v>
      </c>
      <c r="E37">
        <v>0.37348999999999999</v>
      </c>
      <c r="F37">
        <v>0.61128000000000005</v>
      </c>
      <c r="G37">
        <v>0.68798999999999999</v>
      </c>
      <c r="H37">
        <v>0.47388000000000002</v>
      </c>
      <c r="I37">
        <v>0.56486000000000003</v>
      </c>
      <c r="J37">
        <v>0.71326000000000001</v>
      </c>
      <c r="K37">
        <v>1.06253</v>
      </c>
      <c r="L37">
        <v>0.27595999999999998</v>
      </c>
      <c r="M37">
        <v>0.32747999999999999</v>
      </c>
      <c r="N37">
        <v>0.38590000000000002</v>
      </c>
      <c r="O37">
        <v>0.62107000000000001</v>
      </c>
      <c r="P37">
        <v>0.53680000000000005</v>
      </c>
      <c r="Q37">
        <v>0.19927</v>
      </c>
      <c r="R37">
        <v>0.10374</v>
      </c>
      <c r="S37">
        <v>0.29970000000000002</v>
      </c>
      <c r="T37">
        <v>0.76215999999999995</v>
      </c>
      <c r="U37">
        <v>0.77102999999999999</v>
      </c>
      <c r="V37">
        <f t="shared" si="0"/>
        <v>12.782669999999998</v>
      </c>
      <c r="W37">
        <f t="shared" si="1"/>
        <v>0.63913349999999991</v>
      </c>
    </row>
    <row r="38" spans="1:23" x14ac:dyDescent="0.3">
      <c r="A38" t="s">
        <v>59</v>
      </c>
      <c r="B38">
        <v>0.50214000000000003</v>
      </c>
      <c r="C38">
        <v>1.0406599999999999</v>
      </c>
      <c r="D38">
        <v>2.1392000000000002</v>
      </c>
      <c r="E38">
        <v>0.30129</v>
      </c>
      <c r="F38">
        <v>0.39411000000000002</v>
      </c>
      <c r="G38">
        <v>1.0604899999999999</v>
      </c>
      <c r="H38">
        <v>3.415E-2</v>
      </c>
      <c r="I38">
        <v>0.30171999999999999</v>
      </c>
      <c r="J38">
        <v>0.17002</v>
      </c>
      <c r="K38">
        <v>0.76868999999999998</v>
      </c>
      <c r="L38">
        <v>0.60529999999999995</v>
      </c>
      <c r="M38">
        <v>0.3246</v>
      </c>
      <c r="N38">
        <v>0.58936999999999995</v>
      </c>
      <c r="O38">
        <v>1.30602</v>
      </c>
      <c r="P38">
        <v>0.35816999999999999</v>
      </c>
      <c r="Q38">
        <v>0.38844000000000001</v>
      </c>
      <c r="R38">
        <v>0.67739000000000005</v>
      </c>
      <c r="S38">
        <v>0.15961</v>
      </c>
      <c r="T38">
        <v>9.801E-2</v>
      </c>
      <c r="U38">
        <v>0.66159000000000001</v>
      </c>
      <c r="V38">
        <f t="shared" si="0"/>
        <v>11.880970000000003</v>
      </c>
      <c r="W38">
        <f t="shared" si="1"/>
        <v>0.5940485000000002</v>
      </c>
    </row>
    <row r="39" spans="1:23" x14ac:dyDescent="0.3">
      <c r="A39" t="s">
        <v>60</v>
      </c>
      <c r="B39">
        <v>3.2849999999999997E-2</v>
      </c>
      <c r="C39">
        <v>0.14368</v>
      </c>
      <c r="D39">
        <v>0.44918999999999998</v>
      </c>
      <c r="E39">
        <v>4.6769999999999999E-2</v>
      </c>
      <c r="F39">
        <v>0.20816000000000001</v>
      </c>
      <c r="G39">
        <v>1.13568</v>
      </c>
      <c r="H39">
        <v>0.30723</v>
      </c>
      <c r="I39">
        <v>2.5770599999999999</v>
      </c>
      <c r="J39">
        <v>3.0450000000000001E-2</v>
      </c>
      <c r="K39">
        <v>0.69308999999999998</v>
      </c>
      <c r="L39">
        <v>0.68893000000000004</v>
      </c>
      <c r="M39">
        <v>6.6070000000000004E-2</v>
      </c>
      <c r="N39">
        <v>6.8919999999999995E-2</v>
      </c>
      <c r="O39">
        <v>3.2704300000000002</v>
      </c>
      <c r="P39">
        <v>5.2060000000000002E-2</v>
      </c>
      <c r="Q39">
        <v>0.51765000000000005</v>
      </c>
      <c r="R39">
        <v>0.13655999999999999</v>
      </c>
      <c r="S39">
        <v>3.279E-2</v>
      </c>
      <c r="T39">
        <v>0.13381000000000001</v>
      </c>
      <c r="U39">
        <v>0.24934999999999999</v>
      </c>
      <c r="V39">
        <f t="shared" si="0"/>
        <v>10.840730000000001</v>
      </c>
      <c r="W39">
        <f t="shared" si="1"/>
        <v>0.54203650000000003</v>
      </c>
    </row>
    <row r="40" spans="1:23" x14ac:dyDescent="0.3">
      <c r="A40" t="s">
        <v>61</v>
      </c>
      <c r="B40">
        <v>0.57618999999999998</v>
      </c>
      <c r="C40">
        <v>5.2319999999999998E-2</v>
      </c>
      <c r="D40">
        <v>0.80071999999999999</v>
      </c>
      <c r="E40">
        <v>4.4659999999999998E-2</v>
      </c>
      <c r="F40">
        <v>9.7680000000000003E-2</v>
      </c>
      <c r="G40">
        <v>0.24790999999999999</v>
      </c>
      <c r="H40">
        <v>4.8759999999999998E-2</v>
      </c>
      <c r="I40">
        <v>0.76395000000000002</v>
      </c>
      <c r="J40">
        <v>0</v>
      </c>
      <c r="K40">
        <v>1.5200499999999999</v>
      </c>
      <c r="L40">
        <v>0.60167999999999999</v>
      </c>
      <c r="M40">
        <v>0.14474999999999999</v>
      </c>
      <c r="N40">
        <v>1.59693</v>
      </c>
      <c r="O40">
        <v>1.94869</v>
      </c>
      <c r="P40">
        <v>0.30048999999999998</v>
      </c>
      <c r="Q40">
        <v>1.78E-2</v>
      </c>
      <c r="R40">
        <v>0</v>
      </c>
      <c r="S40">
        <v>0.46372999999999998</v>
      </c>
      <c r="T40">
        <v>0</v>
      </c>
      <c r="U40">
        <v>1.05474</v>
      </c>
      <c r="V40">
        <f t="shared" si="0"/>
        <v>10.281049999999999</v>
      </c>
      <c r="W40">
        <f t="shared" si="1"/>
        <v>0.51405249999999991</v>
      </c>
    </row>
    <row r="41" spans="1:23" x14ac:dyDescent="0.3">
      <c r="A41" t="s">
        <v>62</v>
      </c>
      <c r="B41">
        <v>0.45867000000000002</v>
      </c>
      <c r="C41">
        <v>1.7649999999999999E-2</v>
      </c>
      <c r="D41">
        <v>3.3239999999999999E-2</v>
      </c>
      <c r="E41">
        <v>3.3500000000000001E-3</v>
      </c>
      <c r="F41">
        <v>0.5343</v>
      </c>
      <c r="G41">
        <v>0.23282</v>
      </c>
      <c r="H41">
        <v>3.6990000000000002E-2</v>
      </c>
      <c r="I41">
        <v>0.27922999999999998</v>
      </c>
      <c r="J41">
        <v>0</v>
      </c>
      <c r="K41">
        <v>8.8969999999999994E-2</v>
      </c>
      <c r="L41">
        <v>2.7981699999999998</v>
      </c>
      <c r="M41">
        <v>0.97628000000000004</v>
      </c>
      <c r="N41">
        <v>1.2903100000000001</v>
      </c>
      <c r="O41">
        <v>0.46028999999999998</v>
      </c>
      <c r="P41">
        <v>4.6969999999999998E-2</v>
      </c>
      <c r="Q41">
        <v>0.81933999999999996</v>
      </c>
      <c r="R41">
        <v>1.33884</v>
      </c>
      <c r="S41">
        <v>0.37236000000000002</v>
      </c>
      <c r="T41">
        <v>0</v>
      </c>
      <c r="U41">
        <v>0</v>
      </c>
      <c r="V41">
        <f t="shared" si="0"/>
        <v>9.7877799999999997</v>
      </c>
      <c r="W41">
        <f t="shared" si="1"/>
        <v>0.48938899999999996</v>
      </c>
    </row>
    <row r="42" spans="1:23" x14ac:dyDescent="0.3">
      <c r="A42" t="s">
        <v>63</v>
      </c>
      <c r="B42">
        <v>0.15687000000000001</v>
      </c>
      <c r="C42">
        <v>1.5762700000000001</v>
      </c>
      <c r="D42">
        <v>7.4000000000000003E-3</v>
      </c>
      <c r="E42">
        <v>4.6859999999999999E-2</v>
      </c>
      <c r="F42">
        <v>1.3990000000000001E-2</v>
      </c>
      <c r="G42">
        <v>0.18826999999999999</v>
      </c>
      <c r="H42">
        <v>0.19095000000000001</v>
      </c>
      <c r="I42">
        <v>1.1549400000000001</v>
      </c>
      <c r="J42">
        <v>4.4722299999999997</v>
      </c>
      <c r="K42">
        <v>0.24797</v>
      </c>
      <c r="L42">
        <v>9.4280000000000003E-2</v>
      </c>
      <c r="M42">
        <v>4.2009999999999999E-2</v>
      </c>
      <c r="N42">
        <v>2.3820000000000001E-2</v>
      </c>
      <c r="O42">
        <v>0.12184</v>
      </c>
      <c r="P42">
        <v>0.47508</v>
      </c>
      <c r="Q42">
        <v>5.5799999999999999E-3</v>
      </c>
      <c r="R42">
        <v>2.7009999999999999E-2</v>
      </c>
      <c r="S42">
        <v>0.26954</v>
      </c>
      <c r="T42">
        <v>0</v>
      </c>
      <c r="U42">
        <v>4.8999999999999998E-3</v>
      </c>
      <c r="V42">
        <f t="shared" si="0"/>
        <v>9.1198099999999993</v>
      </c>
      <c r="W42">
        <f t="shared" si="1"/>
        <v>0.45599049999999997</v>
      </c>
    </row>
    <row r="43" spans="1:23" x14ac:dyDescent="0.3">
      <c r="A43" t="s">
        <v>64</v>
      </c>
      <c r="B43">
        <v>0.95006000000000002</v>
      </c>
      <c r="C43">
        <v>3.7220000000000003E-2</v>
      </c>
      <c r="D43">
        <v>1.3050000000000001E-2</v>
      </c>
      <c r="E43">
        <v>6.0449999999999997E-2</v>
      </c>
      <c r="F43">
        <v>0.17499999999999999</v>
      </c>
      <c r="G43">
        <v>0.61489000000000005</v>
      </c>
      <c r="H43">
        <v>7.2359999999999994E-2</v>
      </c>
      <c r="I43">
        <v>0.29421000000000003</v>
      </c>
      <c r="J43">
        <v>5.373E-2</v>
      </c>
      <c r="K43">
        <v>0.11418</v>
      </c>
      <c r="L43">
        <v>0.20254</v>
      </c>
      <c r="M43">
        <v>1.41038</v>
      </c>
      <c r="N43">
        <v>1.07453</v>
      </c>
      <c r="O43">
        <v>0</v>
      </c>
      <c r="P43">
        <v>1.7549300000000001</v>
      </c>
      <c r="Q43">
        <v>0.15864</v>
      </c>
      <c r="R43">
        <v>0</v>
      </c>
      <c r="S43">
        <v>0.91554000000000002</v>
      </c>
      <c r="T43">
        <v>0.87939000000000001</v>
      </c>
      <c r="U43">
        <v>0</v>
      </c>
      <c r="V43">
        <f t="shared" si="0"/>
        <v>8.7811000000000003</v>
      </c>
      <c r="W43">
        <f t="shared" si="1"/>
        <v>0.43905500000000003</v>
      </c>
    </row>
    <row r="44" spans="1:23" x14ac:dyDescent="0.3">
      <c r="A44" t="s">
        <v>65</v>
      </c>
      <c r="B44">
        <v>5.2199999999999998E-3</v>
      </c>
      <c r="C44">
        <v>7.757E-2</v>
      </c>
      <c r="D44">
        <v>0.36062</v>
      </c>
      <c r="E44">
        <v>5.3620000000000001E-2</v>
      </c>
      <c r="F44">
        <v>2.4547400000000001</v>
      </c>
      <c r="G44">
        <v>4.6800000000000001E-3</v>
      </c>
      <c r="H44">
        <v>3.3443700000000001</v>
      </c>
      <c r="I44">
        <v>0.27106000000000002</v>
      </c>
      <c r="J44">
        <v>0.42548999999999998</v>
      </c>
      <c r="K44">
        <v>0</v>
      </c>
      <c r="L44">
        <v>0</v>
      </c>
      <c r="M44">
        <v>0</v>
      </c>
      <c r="N44">
        <v>0.77371999999999996</v>
      </c>
      <c r="O44">
        <v>0.76648000000000005</v>
      </c>
      <c r="P44">
        <v>0</v>
      </c>
      <c r="Q44">
        <v>0</v>
      </c>
      <c r="R44">
        <v>9.1900000000000003E-3</v>
      </c>
      <c r="S44">
        <v>0</v>
      </c>
      <c r="T44">
        <v>4.3430000000000003E-2</v>
      </c>
      <c r="U44">
        <v>4.3319999999999997E-2</v>
      </c>
      <c r="V44">
        <f t="shared" si="0"/>
        <v>8.6335100000000011</v>
      </c>
      <c r="W44">
        <f t="shared" si="1"/>
        <v>0.43167550000000005</v>
      </c>
    </row>
    <row r="45" spans="1:23" x14ac:dyDescent="0.3">
      <c r="A45" t="s">
        <v>66</v>
      </c>
      <c r="B45">
        <v>0.33295999999999998</v>
      </c>
      <c r="C45">
        <v>1.8607199999999999</v>
      </c>
      <c r="D45">
        <v>1.9539999999999998E-2</v>
      </c>
      <c r="E45">
        <v>0</v>
      </c>
      <c r="F45">
        <v>0.54798000000000002</v>
      </c>
      <c r="G45">
        <v>0</v>
      </c>
      <c r="H45">
        <v>0</v>
      </c>
      <c r="I45">
        <v>0</v>
      </c>
      <c r="J45">
        <v>0</v>
      </c>
      <c r="K45">
        <v>6.046E-2</v>
      </c>
      <c r="L45">
        <v>0</v>
      </c>
      <c r="M45">
        <v>0</v>
      </c>
      <c r="N45">
        <v>0</v>
      </c>
      <c r="O45">
        <v>2.5819800000000002</v>
      </c>
      <c r="P45">
        <v>1.12835</v>
      </c>
      <c r="Q45">
        <v>0</v>
      </c>
      <c r="R45">
        <v>0</v>
      </c>
      <c r="S45">
        <v>1.7186900000000001</v>
      </c>
      <c r="T45">
        <v>0</v>
      </c>
      <c r="U45">
        <v>0</v>
      </c>
      <c r="V45">
        <f t="shared" si="0"/>
        <v>8.2506800000000009</v>
      </c>
      <c r="W45">
        <f t="shared" si="1"/>
        <v>0.41253400000000007</v>
      </c>
    </row>
    <row r="46" spans="1:23" x14ac:dyDescent="0.3">
      <c r="A46" t="s">
        <v>67</v>
      </c>
      <c r="B46">
        <v>0.24209</v>
      </c>
      <c r="C46">
        <v>2.6106500000000001</v>
      </c>
      <c r="D46">
        <v>2.9819999999999999E-2</v>
      </c>
      <c r="E46">
        <v>8.1100000000000005E-2</v>
      </c>
      <c r="F46">
        <v>0.51461999999999997</v>
      </c>
      <c r="G46">
        <v>0.73329999999999995</v>
      </c>
      <c r="H46">
        <v>1.345E-2</v>
      </c>
      <c r="I46">
        <v>0.16300999999999999</v>
      </c>
      <c r="J46">
        <v>9.6640000000000004E-2</v>
      </c>
      <c r="K46">
        <v>9.0209999999999999E-2</v>
      </c>
      <c r="L46">
        <v>0.44634000000000001</v>
      </c>
      <c r="M46">
        <v>2.2399999999999998E-3</v>
      </c>
      <c r="N46">
        <v>0.51766999999999996</v>
      </c>
      <c r="O46">
        <v>4.8619999999999997E-2</v>
      </c>
      <c r="P46">
        <v>1.7919099999999999</v>
      </c>
      <c r="Q46">
        <v>0.25207000000000002</v>
      </c>
      <c r="R46">
        <v>0.40992000000000001</v>
      </c>
      <c r="S46">
        <v>0</v>
      </c>
      <c r="T46">
        <v>0</v>
      </c>
      <c r="U46">
        <v>0</v>
      </c>
      <c r="V46">
        <f t="shared" si="0"/>
        <v>8.0436599999999991</v>
      </c>
      <c r="W46">
        <f t="shared" si="1"/>
        <v>0.40218299999999996</v>
      </c>
    </row>
    <row r="47" spans="1:23" x14ac:dyDescent="0.3">
      <c r="A47" t="s">
        <v>68</v>
      </c>
      <c r="B47">
        <v>0.27245000000000003</v>
      </c>
      <c r="C47">
        <v>0.57169999999999999</v>
      </c>
      <c r="D47">
        <v>0.48605999999999999</v>
      </c>
      <c r="E47">
        <v>0.1898</v>
      </c>
      <c r="F47">
        <v>0.2898</v>
      </c>
      <c r="G47">
        <v>0.49530999999999997</v>
      </c>
      <c r="H47">
        <v>4.4970000000000003E-2</v>
      </c>
      <c r="I47">
        <v>0.23898</v>
      </c>
      <c r="J47">
        <v>0.22309000000000001</v>
      </c>
      <c r="K47">
        <v>0.34237000000000001</v>
      </c>
      <c r="L47">
        <v>1.7802100000000001</v>
      </c>
      <c r="M47">
        <v>0.25918000000000002</v>
      </c>
      <c r="N47">
        <v>0.51095999999999997</v>
      </c>
      <c r="O47">
        <v>0.18912000000000001</v>
      </c>
      <c r="P47">
        <v>0.13034999999999999</v>
      </c>
      <c r="Q47">
        <v>0.17199</v>
      </c>
      <c r="R47">
        <v>0.57252000000000003</v>
      </c>
      <c r="S47">
        <v>0.14177999999999999</v>
      </c>
      <c r="T47">
        <v>0.14063000000000001</v>
      </c>
      <c r="U47">
        <v>0.58979000000000004</v>
      </c>
      <c r="V47">
        <f t="shared" si="0"/>
        <v>7.6410599999999995</v>
      </c>
      <c r="W47">
        <f t="shared" si="1"/>
        <v>0.38205299999999998</v>
      </c>
    </row>
    <row r="48" spans="1:23" x14ac:dyDescent="0.3">
      <c r="A48" t="s">
        <v>69</v>
      </c>
      <c r="B48">
        <v>0.34075</v>
      </c>
      <c r="C48">
        <v>0.86733000000000005</v>
      </c>
      <c r="D48">
        <v>0.31394</v>
      </c>
      <c r="E48">
        <v>0.25953999999999999</v>
      </c>
      <c r="F48">
        <v>0.44829000000000002</v>
      </c>
      <c r="G48">
        <v>0.29547000000000001</v>
      </c>
      <c r="H48">
        <v>7.3230000000000003E-2</v>
      </c>
      <c r="I48">
        <v>0.34011000000000002</v>
      </c>
      <c r="J48">
        <v>0.28466999999999998</v>
      </c>
      <c r="K48">
        <v>0.23127</v>
      </c>
      <c r="L48">
        <v>1.1419299999999999</v>
      </c>
      <c r="M48">
        <v>0.20477000000000001</v>
      </c>
      <c r="N48">
        <v>0.30275000000000002</v>
      </c>
      <c r="O48">
        <v>0.57526999999999995</v>
      </c>
      <c r="P48">
        <v>0.24038999999999999</v>
      </c>
      <c r="Q48">
        <v>0.15717</v>
      </c>
      <c r="R48">
        <v>0.67366000000000004</v>
      </c>
      <c r="S48">
        <v>0.14612</v>
      </c>
      <c r="T48">
        <v>0.12529000000000001</v>
      </c>
      <c r="U48">
        <v>0.44148999999999999</v>
      </c>
      <c r="V48">
        <f t="shared" si="0"/>
        <v>7.4634399999999976</v>
      </c>
      <c r="W48">
        <f t="shared" si="1"/>
        <v>0.37317199999999989</v>
      </c>
    </row>
    <row r="49" spans="1:23" x14ac:dyDescent="0.3">
      <c r="A49" t="s">
        <v>70</v>
      </c>
      <c r="B49">
        <v>8.8419999999999999E-2</v>
      </c>
      <c r="C49">
        <v>0.45054</v>
      </c>
      <c r="D49">
        <v>0.22347</v>
      </c>
      <c r="E49">
        <v>0.14510000000000001</v>
      </c>
      <c r="F49">
        <v>2.53749</v>
      </c>
      <c r="G49">
        <v>0</v>
      </c>
      <c r="H49">
        <v>0</v>
      </c>
      <c r="I49">
        <v>0</v>
      </c>
      <c r="J49">
        <v>0.92262999999999995</v>
      </c>
      <c r="K49">
        <v>5.7700000000000001E-2</v>
      </c>
      <c r="L49">
        <v>0.89709000000000005</v>
      </c>
      <c r="M49">
        <v>0</v>
      </c>
      <c r="N49">
        <v>4.931E-2</v>
      </c>
      <c r="O49">
        <v>0</v>
      </c>
      <c r="P49">
        <v>1.94356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0"/>
        <v>7.3153100000000002</v>
      </c>
      <c r="W49">
        <f t="shared" si="1"/>
        <v>0.36576550000000002</v>
      </c>
    </row>
    <row r="50" spans="1:23" x14ac:dyDescent="0.3">
      <c r="A50" t="s">
        <v>71</v>
      </c>
      <c r="B50">
        <v>0.72924</v>
      </c>
      <c r="C50">
        <v>0.15919</v>
      </c>
      <c r="D50">
        <v>9.0600000000000003E-3</v>
      </c>
      <c r="E50">
        <v>8.94E-3</v>
      </c>
      <c r="F50">
        <v>0</v>
      </c>
      <c r="G50">
        <v>0</v>
      </c>
      <c r="H50">
        <v>3.7749999999999999E-2</v>
      </c>
      <c r="I50">
        <v>0</v>
      </c>
      <c r="J50">
        <v>0</v>
      </c>
      <c r="K50">
        <v>0.11729000000000001</v>
      </c>
      <c r="L50">
        <v>0.14033000000000001</v>
      </c>
      <c r="M50">
        <v>1.1694199999999999</v>
      </c>
      <c r="N50">
        <v>0.90891999999999995</v>
      </c>
      <c r="O50">
        <v>0.49347000000000002</v>
      </c>
      <c r="P50">
        <v>0.47704000000000002</v>
      </c>
      <c r="Q50">
        <v>0</v>
      </c>
      <c r="R50">
        <v>0</v>
      </c>
      <c r="S50">
        <v>2.93329</v>
      </c>
      <c r="T50">
        <v>0</v>
      </c>
      <c r="U50">
        <v>0</v>
      </c>
      <c r="V50">
        <f t="shared" si="0"/>
        <v>7.1839399999999998</v>
      </c>
      <c r="W50">
        <f t="shared" si="1"/>
        <v>0.35919699999999999</v>
      </c>
    </row>
    <row r="51" spans="1:23" x14ac:dyDescent="0.3">
      <c r="A51" t="s">
        <v>72</v>
      </c>
      <c r="B51">
        <v>1.3600000000000001E-3</v>
      </c>
      <c r="C51">
        <v>1.227E-2</v>
      </c>
      <c r="D51">
        <v>0</v>
      </c>
      <c r="E51">
        <v>6.0999999999999997E-4</v>
      </c>
      <c r="F51">
        <v>1.8699999999999999E-3</v>
      </c>
      <c r="G51">
        <v>1.2290000000000001E-2</v>
      </c>
      <c r="H51">
        <v>8.3099999999999997E-3</v>
      </c>
      <c r="I51">
        <v>3.8629999999999998E-2</v>
      </c>
      <c r="J51">
        <v>6.8858199999999998</v>
      </c>
      <c r="K51">
        <v>1.431E-2</v>
      </c>
      <c r="L51">
        <v>1.6920000000000001E-2</v>
      </c>
      <c r="M51">
        <v>3.6220000000000002E-2</v>
      </c>
      <c r="N51">
        <v>0</v>
      </c>
      <c r="O51">
        <v>9.6900000000000007E-3</v>
      </c>
      <c r="P51">
        <v>2.0799999999999999E-2</v>
      </c>
      <c r="Q51">
        <v>0</v>
      </c>
      <c r="R51">
        <v>3.3E-4</v>
      </c>
      <c r="S51">
        <v>4.8599999999999997E-3</v>
      </c>
      <c r="T51">
        <v>0</v>
      </c>
      <c r="U51">
        <v>0</v>
      </c>
      <c r="V51">
        <f t="shared" si="0"/>
        <v>7.0642899999999997</v>
      </c>
      <c r="W51">
        <f t="shared" si="1"/>
        <v>0.35321449999999999</v>
      </c>
    </row>
    <row r="52" spans="1:23" x14ac:dyDescent="0.3">
      <c r="A52" t="s">
        <v>73</v>
      </c>
      <c r="B52">
        <v>3.3000000000000002E-2</v>
      </c>
      <c r="C52">
        <v>2.7634500000000002</v>
      </c>
      <c r="D52">
        <v>0.25133</v>
      </c>
      <c r="E52">
        <v>5.7729999999999997E-2</v>
      </c>
      <c r="F52">
        <v>7.4859999999999996E-2</v>
      </c>
      <c r="G52">
        <v>0.33638000000000001</v>
      </c>
      <c r="H52">
        <v>1.8429999999999998E-2</v>
      </c>
      <c r="I52">
        <v>0.12044000000000001</v>
      </c>
      <c r="J52">
        <v>0.39792</v>
      </c>
      <c r="K52">
        <v>0.1145</v>
      </c>
      <c r="L52">
        <v>0.27922000000000002</v>
      </c>
      <c r="M52">
        <v>2.9299999999999999E-3</v>
      </c>
      <c r="N52">
        <v>0.11940000000000001</v>
      </c>
      <c r="O52">
        <v>0.35643999999999998</v>
      </c>
      <c r="P52">
        <v>1.5499999999999999E-3</v>
      </c>
      <c r="Q52">
        <v>9.8199999999999996E-2</v>
      </c>
      <c r="R52">
        <v>0.98579000000000006</v>
      </c>
      <c r="S52">
        <v>0.13070000000000001</v>
      </c>
      <c r="T52">
        <v>0</v>
      </c>
      <c r="U52">
        <v>0.57438999999999996</v>
      </c>
      <c r="V52">
        <f t="shared" si="0"/>
        <v>6.7166600000000001</v>
      </c>
      <c r="W52">
        <f t="shared" si="1"/>
        <v>0.33583299999999999</v>
      </c>
    </row>
    <row r="53" spans="1:23" x14ac:dyDescent="0.3">
      <c r="A53" t="s">
        <v>74</v>
      </c>
      <c r="B53">
        <v>0.56279999999999997</v>
      </c>
      <c r="C53">
        <v>0.11971</v>
      </c>
      <c r="D53">
        <v>0.31173000000000001</v>
      </c>
      <c r="E53">
        <v>6.5720000000000001E-2</v>
      </c>
      <c r="F53">
        <v>0.29196</v>
      </c>
      <c r="G53">
        <v>0.27698</v>
      </c>
      <c r="H53">
        <v>0.13969999999999999</v>
      </c>
      <c r="I53">
        <v>0.28864000000000001</v>
      </c>
      <c r="J53">
        <v>0</v>
      </c>
      <c r="K53">
        <v>0.46911000000000003</v>
      </c>
      <c r="L53">
        <v>0.18395</v>
      </c>
      <c r="M53">
        <v>0.128</v>
      </c>
      <c r="N53">
        <v>5.0909999999999997E-2</v>
      </c>
      <c r="O53">
        <v>0.35465999999999998</v>
      </c>
      <c r="P53">
        <v>0.35609000000000002</v>
      </c>
      <c r="Q53">
        <v>0.12166</v>
      </c>
      <c r="R53">
        <v>0</v>
      </c>
      <c r="S53">
        <v>0</v>
      </c>
      <c r="T53">
        <v>2.0285099999999998</v>
      </c>
      <c r="U53">
        <v>0.48637000000000002</v>
      </c>
      <c r="V53">
        <f t="shared" si="0"/>
        <v>6.2365000000000004</v>
      </c>
      <c r="W53">
        <f t="shared" si="1"/>
        <v>0.31182500000000002</v>
      </c>
    </row>
    <row r="54" spans="1:23" x14ac:dyDescent="0.3">
      <c r="A54" t="s">
        <v>75</v>
      </c>
      <c r="B54">
        <v>0.38503999999999999</v>
      </c>
      <c r="C54">
        <v>4.8210000000000003E-2</v>
      </c>
      <c r="D54">
        <v>4.7359999999999999E-2</v>
      </c>
      <c r="E54">
        <v>2.768E-2</v>
      </c>
      <c r="F54">
        <v>0.93244000000000005</v>
      </c>
      <c r="G54">
        <v>1.0230399999999999</v>
      </c>
      <c r="H54">
        <v>5.9920000000000001E-2</v>
      </c>
      <c r="I54">
        <v>0.16755</v>
      </c>
      <c r="J54">
        <v>0.10768</v>
      </c>
      <c r="K54">
        <v>2.4279999999999999E-2</v>
      </c>
      <c r="L54">
        <v>0.36166999999999999</v>
      </c>
      <c r="M54">
        <v>0.52476</v>
      </c>
      <c r="N54">
        <v>0.11166</v>
      </c>
      <c r="O54">
        <v>0.16677</v>
      </c>
      <c r="P54">
        <v>0.68916999999999995</v>
      </c>
      <c r="Q54">
        <v>0.21745999999999999</v>
      </c>
      <c r="R54">
        <v>0.34858</v>
      </c>
      <c r="S54">
        <v>4.3700000000000003E-2</v>
      </c>
      <c r="T54">
        <v>0.41816999999999999</v>
      </c>
      <c r="U54">
        <v>0.48098000000000002</v>
      </c>
      <c r="V54">
        <f t="shared" si="0"/>
        <v>6.1861200000000007</v>
      </c>
      <c r="W54">
        <f t="shared" si="1"/>
        <v>0.30930600000000003</v>
      </c>
    </row>
    <row r="55" spans="1:23" x14ac:dyDescent="0.3">
      <c r="A55" t="s">
        <v>76</v>
      </c>
      <c r="B55">
        <v>0.68793000000000004</v>
      </c>
      <c r="C55">
        <v>0.26528000000000002</v>
      </c>
      <c r="D55">
        <v>0.67386999999999997</v>
      </c>
      <c r="E55">
        <v>0.41337000000000002</v>
      </c>
      <c r="F55">
        <v>0.30529000000000001</v>
      </c>
      <c r="G55">
        <v>0.45691999999999999</v>
      </c>
      <c r="H55">
        <v>0.11018</v>
      </c>
      <c r="I55">
        <v>0.50395999999999996</v>
      </c>
      <c r="J55">
        <v>0</v>
      </c>
      <c r="K55">
        <v>0.48693999999999998</v>
      </c>
      <c r="L55">
        <v>0.24077999999999999</v>
      </c>
      <c r="M55">
        <v>0.23319000000000001</v>
      </c>
      <c r="N55">
        <v>0.29831000000000002</v>
      </c>
      <c r="O55">
        <v>0.32290999999999997</v>
      </c>
      <c r="P55">
        <v>0.31678000000000001</v>
      </c>
      <c r="Q55">
        <v>5.7779999999999998E-2</v>
      </c>
      <c r="R55">
        <v>4.7559999999999998E-2</v>
      </c>
      <c r="S55">
        <v>0.41654000000000002</v>
      </c>
      <c r="T55">
        <v>0.14223</v>
      </c>
      <c r="U55">
        <v>0.13491</v>
      </c>
      <c r="V55">
        <f t="shared" si="0"/>
        <v>6.1147299999999998</v>
      </c>
      <c r="W55">
        <f t="shared" si="1"/>
        <v>0.30573649999999997</v>
      </c>
    </row>
    <row r="56" spans="1:23" x14ac:dyDescent="0.3">
      <c r="A56" t="s">
        <v>77</v>
      </c>
      <c r="B56">
        <v>0.85182999999999998</v>
      </c>
      <c r="C56">
        <v>0</v>
      </c>
      <c r="D56">
        <v>0</v>
      </c>
      <c r="E56">
        <v>5.8259999999999999E-2</v>
      </c>
      <c r="F56">
        <v>3.6290000000000003E-2</v>
      </c>
      <c r="G56">
        <v>0.26084000000000002</v>
      </c>
      <c r="H56">
        <v>9.7970000000000002E-2</v>
      </c>
      <c r="I56">
        <v>1.74522</v>
      </c>
      <c r="J56">
        <v>0.15567</v>
      </c>
      <c r="K56">
        <v>6.6299999999999998E-2</v>
      </c>
      <c r="L56">
        <v>0.62180999999999997</v>
      </c>
      <c r="M56">
        <v>0</v>
      </c>
      <c r="N56">
        <v>0.44436999999999999</v>
      </c>
      <c r="O56">
        <v>0.40321000000000001</v>
      </c>
      <c r="P56">
        <v>0.31502999999999998</v>
      </c>
      <c r="Q56">
        <v>0.12562000000000001</v>
      </c>
      <c r="R56">
        <v>0.52922999999999998</v>
      </c>
      <c r="S56">
        <v>6.966E-2</v>
      </c>
      <c r="T56">
        <v>0</v>
      </c>
      <c r="U56">
        <v>0.28649000000000002</v>
      </c>
      <c r="V56">
        <f t="shared" si="0"/>
        <v>6.0677999999999992</v>
      </c>
      <c r="W56">
        <f t="shared" si="1"/>
        <v>0.30338999999999994</v>
      </c>
    </row>
    <row r="57" spans="1:23" x14ac:dyDescent="0.3">
      <c r="A57" t="s">
        <v>78</v>
      </c>
      <c r="B57">
        <v>0.23418</v>
      </c>
      <c r="C57">
        <v>0</v>
      </c>
      <c r="D57">
        <v>0.31913000000000002</v>
      </c>
      <c r="E57">
        <v>4.2619999999999998E-2</v>
      </c>
      <c r="F57">
        <v>0.41832000000000003</v>
      </c>
      <c r="G57">
        <v>1.55427</v>
      </c>
      <c r="H57">
        <v>8.1430000000000002E-2</v>
      </c>
      <c r="I57">
        <v>0.75263000000000002</v>
      </c>
      <c r="J57">
        <v>1.18E-2</v>
      </c>
      <c r="K57">
        <v>1.2409999999999999E-2</v>
      </c>
      <c r="L57">
        <v>0.17763000000000001</v>
      </c>
      <c r="M57">
        <v>5.3690000000000002E-2</v>
      </c>
      <c r="N57">
        <v>0.19167000000000001</v>
      </c>
      <c r="O57">
        <v>0.17057</v>
      </c>
      <c r="P57">
        <v>6.4710000000000004E-2</v>
      </c>
      <c r="Q57">
        <v>0</v>
      </c>
      <c r="R57">
        <v>0.37364000000000003</v>
      </c>
      <c r="S57">
        <v>4.4679999999999997E-2</v>
      </c>
      <c r="T57">
        <v>0.91015000000000001</v>
      </c>
      <c r="U57">
        <v>2.103E-2</v>
      </c>
      <c r="V57">
        <f t="shared" ref="V57:V74" si="2">SUM(B57:U57)</f>
        <v>5.4345599999999994</v>
      </c>
      <c r="W57">
        <f t="shared" ref="W57:W74" si="3">V57/20</f>
        <v>0.27172799999999997</v>
      </c>
    </row>
    <row r="58" spans="1:23" x14ac:dyDescent="0.3">
      <c r="A58" t="s">
        <v>79</v>
      </c>
      <c r="B58">
        <v>0.27484999999999998</v>
      </c>
      <c r="C58">
        <v>0.40206999999999998</v>
      </c>
      <c r="D58">
        <v>0.36379</v>
      </c>
      <c r="E58">
        <v>4.3229999999999998E-2</v>
      </c>
      <c r="F58">
        <v>0.24468999999999999</v>
      </c>
      <c r="G58">
        <v>5.8720000000000001E-2</v>
      </c>
      <c r="H58">
        <v>1.0749999999999999E-2</v>
      </c>
      <c r="I58">
        <v>0.20921999999999999</v>
      </c>
      <c r="J58">
        <v>0.10488</v>
      </c>
      <c r="K58">
        <v>0.55886000000000002</v>
      </c>
      <c r="L58">
        <v>1.5642199999999999</v>
      </c>
      <c r="M58">
        <v>0.27059</v>
      </c>
      <c r="N58">
        <v>0.14656</v>
      </c>
      <c r="O58">
        <v>0.32586999999999999</v>
      </c>
      <c r="P58">
        <v>0</v>
      </c>
      <c r="Q58">
        <v>0.12289</v>
      </c>
      <c r="R58">
        <v>6.1519999999999998E-2</v>
      </c>
      <c r="S58">
        <v>0.12427000000000001</v>
      </c>
      <c r="T58">
        <v>0</v>
      </c>
      <c r="U58">
        <v>0.45440000000000003</v>
      </c>
      <c r="V58">
        <f t="shared" si="2"/>
        <v>5.34138</v>
      </c>
      <c r="W58">
        <f t="shared" si="3"/>
        <v>0.267069</v>
      </c>
    </row>
    <row r="59" spans="1:23" x14ac:dyDescent="0.3">
      <c r="A59" t="s">
        <v>80</v>
      </c>
      <c r="B59">
        <v>0</v>
      </c>
      <c r="C59">
        <v>5.9180000000000003E-2</v>
      </c>
      <c r="D59">
        <v>0</v>
      </c>
      <c r="E59">
        <v>0.46496999999999999</v>
      </c>
      <c r="F59">
        <v>0</v>
      </c>
      <c r="G59">
        <v>0</v>
      </c>
      <c r="H59">
        <v>0.41245999999999999</v>
      </c>
      <c r="I59">
        <v>0</v>
      </c>
      <c r="J59">
        <v>0</v>
      </c>
      <c r="K59">
        <v>0</v>
      </c>
      <c r="L59">
        <v>1.6019000000000001</v>
      </c>
      <c r="M59">
        <v>0.51861999999999997</v>
      </c>
      <c r="N59">
        <v>0.97026000000000001</v>
      </c>
      <c r="O59">
        <v>0.80510999999999999</v>
      </c>
      <c r="P59">
        <v>0</v>
      </c>
      <c r="Q59">
        <v>0.33135999999999999</v>
      </c>
      <c r="R59">
        <v>0</v>
      </c>
      <c r="S59">
        <v>0</v>
      </c>
      <c r="T59">
        <v>0</v>
      </c>
      <c r="U59">
        <v>0</v>
      </c>
      <c r="V59">
        <f t="shared" si="2"/>
        <v>5.1638599999999997</v>
      </c>
      <c r="W59">
        <f t="shared" si="3"/>
        <v>0.25819300000000001</v>
      </c>
    </row>
    <row r="60" spans="1:23" x14ac:dyDescent="0.3">
      <c r="A60" t="s">
        <v>81</v>
      </c>
      <c r="B60">
        <v>0</v>
      </c>
      <c r="C60">
        <v>0.22006000000000001</v>
      </c>
      <c r="D60">
        <v>0</v>
      </c>
      <c r="E60">
        <v>6.7489999999999994E-2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7.5939999999999994E-2</v>
      </c>
      <c r="N60">
        <v>0.54122999999999999</v>
      </c>
      <c r="O60">
        <v>0</v>
      </c>
      <c r="P60">
        <v>0</v>
      </c>
      <c r="Q60">
        <v>4.0994099999999998</v>
      </c>
      <c r="R60">
        <v>0</v>
      </c>
      <c r="S60">
        <v>0</v>
      </c>
      <c r="T60">
        <v>0</v>
      </c>
      <c r="U60">
        <v>0</v>
      </c>
      <c r="V60">
        <f t="shared" si="2"/>
        <v>5.00413</v>
      </c>
      <c r="W60">
        <f t="shared" si="3"/>
        <v>0.2502065</v>
      </c>
    </row>
    <row r="61" spans="1:23" x14ac:dyDescent="0.3">
      <c r="A61" t="s">
        <v>82</v>
      </c>
      <c r="B61">
        <v>5.0000000000000001E-4</v>
      </c>
      <c r="C61">
        <v>0</v>
      </c>
      <c r="D61">
        <v>0</v>
      </c>
      <c r="E61">
        <v>0</v>
      </c>
      <c r="F61">
        <v>0</v>
      </c>
      <c r="G61">
        <v>1.4639599999999999</v>
      </c>
      <c r="H61">
        <v>0</v>
      </c>
      <c r="I61">
        <v>0</v>
      </c>
      <c r="J61">
        <v>0</v>
      </c>
      <c r="K61">
        <v>1.5901799999999999</v>
      </c>
      <c r="L61">
        <v>1.0279999999999999E-2</v>
      </c>
      <c r="M61">
        <v>4.9099999999999998E-2</v>
      </c>
      <c r="N61">
        <v>0</v>
      </c>
      <c r="O61">
        <v>5.2159999999999998E-2</v>
      </c>
      <c r="P61">
        <v>0.48368</v>
      </c>
      <c r="Q61">
        <v>0</v>
      </c>
      <c r="R61">
        <v>0</v>
      </c>
      <c r="S61">
        <v>1.3234600000000001</v>
      </c>
      <c r="T61">
        <v>0</v>
      </c>
      <c r="U61">
        <v>0</v>
      </c>
      <c r="V61">
        <f t="shared" si="2"/>
        <v>4.9733200000000002</v>
      </c>
      <c r="W61">
        <f t="shared" si="3"/>
        <v>0.248666</v>
      </c>
    </row>
    <row r="62" spans="1:23" x14ac:dyDescent="0.3">
      <c r="A62" t="s">
        <v>83</v>
      </c>
      <c r="B62">
        <v>2.6630000000000001E-2</v>
      </c>
      <c r="C62">
        <v>0.30987999999999999</v>
      </c>
      <c r="D62">
        <v>0.27596999999999999</v>
      </c>
      <c r="E62">
        <v>5.4730000000000001E-2</v>
      </c>
      <c r="F62">
        <v>0.67144000000000004</v>
      </c>
      <c r="G62">
        <v>0.88698999999999995</v>
      </c>
      <c r="H62">
        <v>0.12631999999999999</v>
      </c>
      <c r="I62">
        <v>0.16586999999999999</v>
      </c>
      <c r="J62">
        <v>0.17080000000000001</v>
      </c>
      <c r="K62">
        <v>0.42970000000000003</v>
      </c>
      <c r="L62">
        <v>0.11602999999999999</v>
      </c>
      <c r="M62">
        <v>2.9099999999999998E-3</v>
      </c>
      <c r="N62">
        <v>1.712E-2</v>
      </c>
      <c r="O62">
        <v>3.7499999999999999E-2</v>
      </c>
      <c r="P62">
        <v>0.40161000000000002</v>
      </c>
      <c r="Q62">
        <v>4.4569999999999999E-2</v>
      </c>
      <c r="R62">
        <v>0.29665999999999998</v>
      </c>
      <c r="S62">
        <v>0</v>
      </c>
      <c r="T62">
        <v>0.78427999999999998</v>
      </c>
      <c r="U62">
        <v>0.15221999999999999</v>
      </c>
      <c r="V62">
        <f t="shared" si="2"/>
        <v>4.9712299999999994</v>
      </c>
      <c r="W62">
        <f t="shared" si="3"/>
        <v>0.24856149999999996</v>
      </c>
    </row>
    <row r="63" spans="1:23" x14ac:dyDescent="0.3">
      <c r="A63" t="s">
        <v>84</v>
      </c>
      <c r="B63">
        <v>2.266E-2</v>
      </c>
      <c r="C63">
        <v>0.13600999999999999</v>
      </c>
      <c r="D63">
        <v>0.69615000000000005</v>
      </c>
      <c r="E63">
        <v>1.58E-3</v>
      </c>
      <c r="F63">
        <v>2.6159999999999999E-2</v>
      </c>
      <c r="G63">
        <v>0.46544000000000002</v>
      </c>
      <c r="H63">
        <v>2.598E-2</v>
      </c>
      <c r="I63">
        <v>3.1850000000000003E-2</v>
      </c>
      <c r="J63">
        <v>2.8459999999999999E-2</v>
      </c>
      <c r="K63">
        <v>0.14218</v>
      </c>
      <c r="L63">
        <v>0.20258000000000001</v>
      </c>
      <c r="M63">
        <v>3.177E-2</v>
      </c>
      <c r="N63">
        <v>1.65751</v>
      </c>
      <c r="O63">
        <v>0.12939999999999999</v>
      </c>
      <c r="P63">
        <v>0.92037000000000002</v>
      </c>
      <c r="Q63">
        <v>0.12302</v>
      </c>
      <c r="R63">
        <v>3.6990000000000002E-2</v>
      </c>
      <c r="S63">
        <v>7.3529999999999998E-2</v>
      </c>
      <c r="T63">
        <v>4.0000000000000001E-3</v>
      </c>
      <c r="U63">
        <v>3.1969999999999998E-2</v>
      </c>
      <c r="V63">
        <f t="shared" si="2"/>
        <v>4.7876099999999999</v>
      </c>
      <c r="W63">
        <f t="shared" si="3"/>
        <v>0.2393805</v>
      </c>
    </row>
    <row r="64" spans="1:23" x14ac:dyDescent="0.3">
      <c r="A64" t="s">
        <v>85</v>
      </c>
      <c r="B64">
        <v>0.31689000000000001</v>
      </c>
      <c r="C64">
        <v>1.4109999999999999E-2</v>
      </c>
      <c r="D64">
        <v>4.8599999999999997E-3</v>
      </c>
      <c r="E64">
        <v>7.5100000000000002E-3</v>
      </c>
      <c r="F64">
        <v>0.33861999999999998</v>
      </c>
      <c r="G64">
        <v>0.37325999999999998</v>
      </c>
      <c r="H64">
        <v>7.2539999999999993E-2</v>
      </c>
      <c r="I64">
        <v>0.71884999999999999</v>
      </c>
      <c r="J64">
        <v>0.13148000000000001</v>
      </c>
      <c r="K64">
        <v>0.25611</v>
      </c>
      <c r="L64">
        <v>0.35725000000000001</v>
      </c>
      <c r="M64">
        <v>0</v>
      </c>
      <c r="N64">
        <v>0.29630000000000001</v>
      </c>
      <c r="O64">
        <v>0.76270000000000004</v>
      </c>
      <c r="P64">
        <v>0.14551</v>
      </c>
      <c r="Q64">
        <v>0.11047999999999999</v>
      </c>
      <c r="R64">
        <v>0.33359</v>
      </c>
      <c r="S64">
        <v>7.4990000000000001E-2</v>
      </c>
      <c r="T64">
        <v>0</v>
      </c>
      <c r="U64">
        <v>0.27474999999999999</v>
      </c>
      <c r="V64">
        <f t="shared" si="2"/>
        <v>4.5897999999999994</v>
      </c>
      <c r="W64">
        <f t="shared" si="3"/>
        <v>0.22948999999999997</v>
      </c>
    </row>
    <row r="65" spans="1:23" x14ac:dyDescent="0.3">
      <c r="A65" t="s">
        <v>86</v>
      </c>
      <c r="B65">
        <v>0.16578000000000001</v>
      </c>
      <c r="C65">
        <v>2.29E-2</v>
      </c>
      <c r="D65">
        <v>5.5500000000000002E-3</v>
      </c>
      <c r="E65">
        <v>8.5050000000000001E-2</v>
      </c>
      <c r="F65">
        <v>0.43373</v>
      </c>
      <c r="G65">
        <v>0.47655999999999998</v>
      </c>
      <c r="H65">
        <v>2.1199999999999999E-3</v>
      </c>
      <c r="I65">
        <v>3.1150000000000001E-2</v>
      </c>
      <c r="J65">
        <v>1.5206</v>
      </c>
      <c r="K65">
        <v>1.17136</v>
      </c>
      <c r="L65">
        <v>2.708E-2</v>
      </c>
      <c r="M65">
        <v>0</v>
      </c>
      <c r="N65">
        <v>6.3E-3</v>
      </c>
      <c r="O65">
        <v>6.94E-3</v>
      </c>
      <c r="P65">
        <v>3.916E-2</v>
      </c>
      <c r="Q65">
        <v>4.2999999999999997E-2</v>
      </c>
      <c r="R65">
        <v>0.50341000000000002</v>
      </c>
      <c r="S65">
        <v>1.9570000000000001E-2</v>
      </c>
      <c r="T65">
        <v>0</v>
      </c>
      <c r="U65">
        <v>0</v>
      </c>
      <c r="V65">
        <f t="shared" si="2"/>
        <v>4.5602599999999995</v>
      </c>
      <c r="W65">
        <f t="shared" si="3"/>
        <v>0.22801299999999997</v>
      </c>
    </row>
    <row r="66" spans="1:23" x14ac:dyDescent="0.3">
      <c r="A66" t="s">
        <v>87</v>
      </c>
      <c r="B66">
        <v>0.36199999999999999</v>
      </c>
      <c r="C66">
        <v>0</v>
      </c>
      <c r="D66">
        <v>0.44736999999999999</v>
      </c>
      <c r="E66">
        <v>0</v>
      </c>
      <c r="F66">
        <v>1.27573</v>
      </c>
      <c r="G66">
        <v>0.18195</v>
      </c>
      <c r="H66">
        <v>9.3200000000000002E-3</v>
      </c>
      <c r="I66">
        <v>4.7899999999999998E-2</v>
      </c>
      <c r="J66">
        <v>0</v>
      </c>
      <c r="K66">
        <v>8.8000000000000005E-3</v>
      </c>
      <c r="L66">
        <v>4.5100000000000001E-3</v>
      </c>
      <c r="M66">
        <v>1.9599999999999999E-3</v>
      </c>
      <c r="N66">
        <v>0.10678</v>
      </c>
      <c r="O66">
        <v>0.18295</v>
      </c>
      <c r="P66">
        <v>0</v>
      </c>
      <c r="Q66">
        <v>1.22126</v>
      </c>
      <c r="R66">
        <v>2.0219999999999998E-2</v>
      </c>
      <c r="S66">
        <v>7.9380000000000006E-2</v>
      </c>
      <c r="T66">
        <v>0.45040000000000002</v>
      </c>
      <c r="U66">
        <v>0</v>
      </c>
      <c r="V66">
        <f t="shared" si="2"/>
        <v>4.4005299999999998</v>
      </c>
      <c r="W66">
        <f t="shared" si="3"/>
        <v>0.22002649999999999</v>
      </c>
    </row>
    <row r="67" spans="1:23" x14ac:dyDescent="0.3">
      <c r="A67" t="s">
        <v>88</v>
      </c>
      <c r="B67">
        <v>0.30786999999999998</v>
      </c>
      <c r="C67">
        <v>0.53097000000000005</v>
      </c>
      <c r="D67">
        <v>0.93035999999999996</v>
      </c>
      <c r="E67">
        <v>0</v>
      </c>
      <c r="F67">
        <v>0.26661000000000001</v>
      </c>
      <c r="G67">
        <v>0.33672999999999997</v>
      </c>
      <c r="H67">
        <v>0.20155999999999999</v>
      </c>
      <c r="I67">
        <v>0.40855999999999998</v>
      </c>
      <c r="J67">
        <v>0</v>
      </c>
      <c r="K67">
        <v>0.55845</v>
      </c>
      <c r="L67">
        <v>0</v>
      </c>
      <c r="M67">
        <v>3.4299999999999997E-2</v>
      </c>
      <c r="N67">
        <v>0</v>
      </c>
      <c r="O67">
        <v>0.52888999999999997</v>
      </c>
      <c r="P67">
        <v>0</v>
      </c>
      <c r="Q67">
        <v>0</v>
      </c>
      <c r="R67">
        <v>0</v>
      </c>
      <c r="S67">
        <v>0</v>
      </c>
      <c r="T67">
        <v>0.24185000000000001</v>
      </c>
      <c r="U67">
        <v>0</v>
      </c>
      <c r="V67">
        <f t="shared" si="2"/>
        <v>4.3461500000000006</v>
      </c>
      <c r="W67">
        <f t="shared" si="3"/>
        <v>0.21730750000000004</v>
      </c>
    </row>
    <row r="68" spans="1:23" x14ac:dyDescent="0.3">
      <c r="A68" t="s">
        <v>89</v>
      </c>
      <c r="B68">
        <v>0.14013</v>
      </c>
      <c r="C68">
        <v>0</v>
      </c>
      <c r="D68">
        <v>0</v>
      </c>
      <c r="E68">
        <v>0</v>
      </c>
      <c r="F68">
        <v>0</v>
      </c>
      <c r="G68">
        <v>0.60277000000000003</v>
      </c>
      <c r="H68">
        <v>0.10120999999999999</v>
      </c>
      <c r="I68">
        <v>1.1284099999999999</v>
      </c>
      <c r="J68">
        <v>0</v>
      </c>
      <c r="K68">
        <v>0</v>
      </c>
      <c r="L68">
        <v>9.7919999999999993E-2</v>
      </c>
      <c r="M68">
        <v>0</v>
      </c>
      <c r="N68">
        <v>6.1000000000000004E-3</v>
      </c>
      <c r="O68">
        <v>0</v>
      </c>
      <c r="P68">
        <v>0.91532000000000002</v>
      </c>
      <c r="Q68">
        <v>0</v>
      </c>
      <c r="R68">
        <v>1.2575099999999999</v>
      </c>
      <c r="S68">
        <v>4.0200000000000001E-3</v>
      </c>
      <c r="T68">
        <v>0</v>
      </c>
      <c r="U68">
        <v>0</v>
      </c>
      <c r="V68">
        <f t="shared" si="2"/>
        <v>4.2533899999999987</v>
      </c>
      <c r="W68">
        <f t="shared" si="3"/>
        <v>0.21266949999999993</v>
      </c>
    </row>
    <row r="69" spans="1:23" x14ac:dyDescent="0.3">
      <c r="A69" t="s">
        <v>90</v>
      </c>
      <c r="B69">
        <v>0.35150999999999999</v>
      </c>
      <c r="C69">
        <v>6.25E-2</v>
      </c>
      <c r="D69">
        <v>5.1279999999999999E-2</v>
      </c>
      <c r="E69">
        <v>7.9670000000000005E-2</v>
      </c>
      <c r="F69">
        <v>8.1350000000000006E-2</v>
      </c>
      <c r="G69">
        <v>8.3839999999999998E-2</v>
      </c>
      <c r="H69">
        <v>3.2129999999999999E-2</v>
      </c>
      <c r="I69">
        <v>0.14773</v>
      </c>
      <c r="J69">
        <v>1.448E-2</v>
      </c>
      <c r="K69">
        <v>5.0340000000000003E-2</v>
      </c>
      <c r="L69">
        <v>0.17399000000000001</v>
      </c>
      <c r="M69">
        <v>0.59253</v>
      </c>
      <c r="N69">
        <v>0.58294000000000001</v>
      </c>
      <c r="O69">
        <v>0.2994</v>
      </c>
      <c r="P69">
        <v>0.30065999999999998</v>
      </c>
      <c r="Q69">
        <v>0.3387</v>
      </c>
      <c r="R69">
        <v>0.20791000000000001</v>
      </c>
      <c r="S69">
        <v>0.12218999999999999</v>
      </c>
      <c r="T69">
        <v>0.20563000000000001</v>
      </c>
      <c r="U69">
        <v>0.43147999999999997</v>
      </c>
      <c r="V69">
        <f t="shared" si="2"/>
        <v>4.2102599999999999</v>
      </c>
      <c r="W69">
        <f t="shared" si="3"/>
        <v>0.21051300000000001</v>
      </c>
    </row>
    <row r="70" spans="1:23" x14ac:dyDescent="0.3">
      <c r="A70" t="s">
        <v>91</v>
      </c>
      <c r="B70">
        <v>0.17571000000000001</v>
      </c>
      <c r="C70">
        <v>0</v>
      </c>
      <c r="D70">
        <v>0</v>
      </c>
      <c r="E70">
        <v>0</v>
      </c>
      <c r="F70">
        <v>0.12853999999999999</v>
      </c>
      <c r="G70">
        <v>0</v>
      </c>
      <c r="H70">
        <v>0.22428999999999999</v>
      </c>
      <c r="I70">
        <v>2.4917199999999999</v>
      </c>
      <c r="J70">
        <v>0</v>
      </c>
      <c r="K70">
        <v>0</v>
      </c>
      <c r="L70">
        <v>0</v>
      </c>
      <c r="M70">
        <v>0</v>
      </c>
      <c r="N70">
        <v>0.12282</v>
      </c>
      <c r="O70">
        <v>0</v>
      </c>
      <c r="P70">
        <v>0</v>
      </c>
      <c r="Q70">
        <v>0.47561999999999999</v>
      </c>
      <c r="R70">
        <v>0.54422999999999999</v>
      </c>
      <c r="S70">
        <v>0</v>
      </c>
      <c r="T70">
        <v>0</v>
      </c>
      <c r="U70">
        <v>0</v>
      </c>
      <c r="V70">
        <f t="shared" si="2"/>
        <v>4.1629300000000002</v>
      </c>
      <c r="W70">
        <f t="shared" si="3"/>
        <v>0.20814650000000001</v>
      </c>
    </row>
    <row r="71" spans="1:23" x14ac:dyDescent="0.3">
      <c r="A71" t="s">
        <v>92</v>
      </c>
      <c r="B71">
        <v>1.59937</v>
      </c>
      <c r="C71">
        <v>1.03E-2</v>
      </c>
      <c r="D71">
        <v>0</v>
      </c>
      <c r="E71">
        <v>2.9399999999999999E-3</v>
      </c>
      <c r="F71">
        <v>0</v>
      </c>
      <c r="G71">
        <v>0.30528</v>
      </c>
      <c r="H71">
        <v>0.11071</v>
      </c>
      <c r="I71">
        <v>0</v>
      </c>
      <c r="J71">
        <v>0</v>
      </c>
      <c r="K71">
        <v>1.0568200000000001</v>
      </c>
      <c r="L71">
        <v>1.652E-2</v>
      </c>
      <c r="M71">
        <v>0</v>
      </c>
      <c r="N71">
        <v>0</v>
      </c>
      <c r="O71">
        <v>0</v>
      </c>
      <c r="P71">
        <v>0</v>
      </c>
      <c r="Q71">
        <v>0.93872999999999995</v>
      </c>
      <c r="R71">
        <v>0</v>
      </c>
      <c r="S71">
        <v>7.9299999999999995E-3</v>
      </c>
      <c r="T71">
        <v>0</v>
      </c>
      <c r="U71">
        <v>4.607E-2</v>
      </c>
      <c r="V71">
        <f t="shared" si="2"/>
        <v>4.0946699999999998</v>
      </c>
      <c r="W71">
        <f t="shared" si="3"/>
        <v>0.20473349999999998</v>
      </c>
    </row>
    <row r="72" spans="1:23" x14ac:dyDescent="0.3">
      <c r="A72" t="s">
        <v>93</v>
      </c>
      <c r="B72">
        <v>3.96E-3</v>
      </c>
      <c r="C72">
        <v>3.16E-3</v>
      </c>
      <c r="D72">
        <v>3.8999999999999999E-4</v>
      </c>
      <c r="E72">
        <v>1.17E-3</v>
      </c>
      <c r="F72">
        <v>0</v>
      </c>
      <c r="G72">
        <v>4.2900000000000004E-3</v>
      </c>
      <c r="H72">
        <v>0</v>
      </c>
      <c r="I72">
        <v>0</v>
      </c>
      <c r="J72">
        <v>2.0129999999999999E-2</v>
      </c>
      <c r="K72">
        <v>8.0100000000000005E-2</v>
      </c>
      <c r="L72">
        <v>0</v>
      </c>
      <c r="M72">
        <v>3.8127599999999999</v>
      </c>
      <c r="N72">
        <v>0</v>
      </c>
      <c r="O72">
        <v>0</v>
      </c>
      <c r="P72">
        <v>0</v>
      </c>
      <c r="Q72">
        <v>9.1450000000000004E-2</v>
      </c>
      <c r="R72">
        <v>5.9699999999999996E-3</v>
      </c>
      <c r="S72">
        <v>0</v>
      </c>
      <c r="T72">
        <v>1.967E-2</v>
      </c>
      <c r="U72">
        <v>0</v>
      </c>
      <c r="V72">
        <f t="shared" si="2"/>
        <v>4.0430499999999991</v>
      </c>
      <c r="W72">
        <f t="shared" si="3"/>
        <v>0.20215249999999996</v>
      </c>
    </row>
    <row r="73" spans="1:23" x14ac:dyDescent="0.3">
      <c r="A73" t="s">
        <v>94</v>
      </c>
      <c r="B73">
        <v>6.8110000000000004E-2</v>
      </c>
      <c r="C73">
        <v>1.159E-2</v>
      </c>
      <c r="D73">
        <v>6.13E-3</v>
      </c>
      <c r="E73">
        <v>1.6199999999999999E-2</v>
      </c>
      <c r="F73">
        <v>0.19350999999999999</v>
      </c>
      <c r="G73">
        <v>1.0030000000000001E-2</v>
      </c>
      <c r="H73">
        <v>7.7799999999999996E-3</v>
      </c>
      <c r="I73">
        <v>0.11262</v>
      </c>
      <c r="J73">
        <v>1.554E-2</v>
      </c>
      <c r="K73">
        <v>5.47E-3</v>
      </c>
      <c r="L73">
        <v>7.77E-3</v>
      </c>
      <c r="M73">
        <v>0</v>
      </c>
      <c r="N73">
        <v>3.15E-2</v>
      </c>
      <c r="O73">
        <v>2.2678699999999998</v>
      </c>
      <c r="P73">
        <v>0.94533</v>
      </c>
      <c r="Q73">
        <v>0</v>
      </c>
      <c r="R73">
        <v>0</v>
      </c>
      <c r="S73">
        <v>0.23236999999999999</v>
      </c>
      <c r="T73">
        <v>0</v>
      </c>
      <c r="U73">
        <v>0</v>
      </c>
      <c r="V73">
        <f t="shared" si="2"/>
        <v>3.9318199999999996</v>
      </c>
      <c r="W73">
        <f t="shared" si="3"/>
        <v>0.19659099999999999</v>
      </c>
    </row>
    <row r="74" spans="1:23" x14ac:dyDescent="0.3">
      <c r="A74" t="s">
        <v>551</v>
      </c>
      <c r="B74">
        <v>4.7999999999999996E-3</v>
      </c>
      <c r="C74">
        <v>1.0359999999999999E-2</v>
      </c>
      <c r="D74">
        <v>3.9100000000000003E-3</v>
      </c>
      <c r="E74">
        <v>5.47E-3</v>
      </c>
      <c r="F74">
        <v>0.56008999999999998</v>
      </c>
      <c r="G74">
        <v>2.402E-2</v>
      </c>
      <c r="H74">
        <v>2.0500000000000002E-3</v>
      </c>
      <c r="I74">
        <v>2.3859999999999999E-2</v>
      </c>
      <c r="J74">
        <v>1E-3</v>
      </c>
      <c r="K74">
        <v>1.5576099999999999</v>
      </c>
      <c r="L74">
        <v>0.13119</v>
      </c>
      <c r="M74">
        <v>9.0200000000000002E-3</v>
      </c>
      <c r="N74">
        <v>0.15881000000000001</v>
      </c>
      <c r="O74">
        <v>1.0370000000000001E-2</v>
      </c>
      <c r="P74">
        <v>3.1289999999999998E-2</v>
      </c>
      <c r="Q74">
        <v>1.0059999999999999E-2</v>
      </c>
      <c r="R74">
        <v>3.14E-3</v>
      </c>
      <c r="S74">
        <v>1.36029</v>
      </c>
      <c r="T74">
        <v>5.6999999999999998E-4</v>
      </c>
      <c r="U74">
        <v>3.8899999999999998E-3</v>
      </c>
      <c r="V74">
        <f t="shared" si="2"/>
        <v>3.9118000000000004</v>
      </c>
      <c r="W74">
        <f t="shared" si="3"/>
        <v>0.19559000000000001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A9CA-D0F9-4A8F-A3D5-E713B33A4CA7}">
  <dimension ref="A1:G602"/>
  <sheetViews>
    <sheetView workbookViewId="0">
      <selection activeCell="B29" sqref="B29"/>
    </sheetView>
  </sheetViews>
  <sheetFormatPr defaultRowHeight="14" x14ac:dyDescent="0.3"/>
  <cols>
    <col min="1" max="1" width="35.25" customWidth="1"/>
    <col min="2" max="2" width="27.83203125" customWidth="1"/>
    <col min="6" max="6" width="22.83203125" customWidth="1"/>
    <col min="7" max="7" width="27.83203125" customWidth="1"/>
  </cols>
  <sheetData>
    <row r="1" spans="1:7" x14ac:dyDescent="0.3">
      <c r="A1" t="s">
        <v>625</v>
      </c>
      <c r="B1" t="s">
        <v>622</v>
      </c>
      <c r="F1" t="s">
        <v>625</v>
      </c>
      <c r="G1" t="s">
        <v>623</v>
      </c>
    </row>
    <row r="2" spans="1:7" x14ac:dyDescent="0.3">
      <c r="A2" t="s">
        <v>95</v>
      </c>
      <c r="B2" t="s">
        <v>96</v>
      </c>
      <c r="F2" t="s">
        <v>414</v>
      </c>
      <c r="G2" t="s">
        <v>451</v>
      </c>
    </row>
    <row r="3" spans="1:7" x14ac:dyDescent="0.3">
      <c r="A3" t="s">
        <v>97</v>
      </c>
      <c r="B3" t="s">
        <v>98</v>
      </c>
      <c r="F3" t="s">
        <v>433</v>
      </c>
      <c r="G3" t="s">
        <v>428</v>
      </c>
    </row>
    <row r="4" spans="1:7" x14ac:dyDescent="0.3">
      <c r="A4" t="s">
        <v>99</v>
      </c>
      <c r="B4" s="1" t="s">
        <v>504</v>
      </c>
      <c r="F4" t="s">
        <v>428</v>
      </c>
      <c r="G4" t="s">
        <v>564</v>
      </c>
    </row>
    <row r="5" spans="1:7" x14ac:dyDescent="0.3">
      <c r="A5" t="s">
        <v>100</v>
      </c>
      <c r="B5" t="s">
        <v>101</v>
      </c>
      <c r="F5" t="s">
        <v>463</v>
      </c>
      <c r="G5" t="s">
        <v>441</v>
      </c>
    </row>
    <row r="6" spans="1:7" x14ac:dyDescent="0.3">
      <c r="A6" t="s">
        <v>102</v>
      </c>
      <c r="B6" t="s">
        <v>102</v>
      </c>
      <c r="F6" t="s">
        <v>451</v>
      </c>
      <c r="G6" t="s">
        <v>419</v>
      </c>
    </row>
    <row r="7" spans="1:7" x14ac:dyDescent="0.3">
      <c r="A7" t="s">
        <v>508</v>
      </c>
      <c r="B7" t="s">
        <v>103</v>
      </c>
      <c r="F7" t="s">
        <v>466</v>
      </c>
      <c r="G7" t="s">
        <v>435</v>
      </c>
    </row>
    <row r="8" spans="1:7" x14ac:dyDescent="0.3">
      <c r="A8" t="s">
        <v>207</v>
      </c>
      <c r="B8" t="s">
        <v>104</v>
      </c>
      <c r="F8" t="s">
        <v>447</v>
      </c>
      <c r="G8" t="s">
        <v>424</v>
      </c>
    </row>
    <row r="9" spans="1:7" x14ac:dyDescent="0.3">
      <c r="A9" t="s">
        <v>496</v>
      </c>
      <c r="B9" t="s">
        <v>105</v>
      </c>
      <c r="F9" t="s">
        <v>419</v>
      </c>
      <c r="G9" t="s">
        <v>428</v>
      </c>
    </row>
    <row r="10" spans="1:7" x14ac:dyDescent="0.3">
      <c r="A10" t="s">
        <v>106</v>
      </c>
      <c r="B10" t="s">
        <v>109</v>
      </c>
      <c r="F10" t="s">
        <v>441</v>
      </c>
      <c r="G10" t="s">
        <v>565</v>
      </c>
    </row>
    <row r="11" spans="1:7" x14ac:dyDescent="0.3">
      <c r="A11" t="s">
        <v>98</v>
      </c>
      <c r="B11" t="s">
        <v>107</v>
      </c>
      <c r="F11" t="s">
        <v>443</v>
      </c>
      <c r="G11" t="s">
        <v>428</v>
      </c>
    </row>
    <row r="12" spans="1:7" x14ac:dyDescent="0.3">
      <c r="A12" t="s">
        <v>108</v>
      </c>
      <c r="B12" s="1" t="s">
        <v>505</v>
      </c>
      <c r="F12" t="s">
        <v>489</v>
      </c>
      <c r="G12" t="s">
        <v>443</v>
      </c>
    </row>
    <row r="13" spans="1:7" x14ac:dyDescent="0.3">
      <c r="A13" t="s">
        <v>621</v>
      </c>
      <c r="B13" t="s">
        <v>109</v>
      </c>
      <c r="F13" t="s">
        <v>434</v>
      </c>
      <c r="G13" t="s">
        <v>565</v>
      </c>
    </row>
    <row r="14" spans="1:7" x14ac:dyDescent="0.3">
      <c r="A14" t="s">
        <v>110</v>
      </c>
      <c r="B14" s="1" t="s">
        <v>111</v>
      </c>
      <c r="F14" t="s">
        <v>460</v>
      </c>
      <c r="G14" t="s">
        <v>566</v>
      </c>
    </row>
    <row r="15" spans="1:7" x14ac:dyDescent="0.3">
      <c r="A15" t="s">
        <v>112</v>
      </c>
      <c r="B15" t="s">
        <v>109</v>
      </c>
      <c r="F15" t="s">
        <v>459</v>
      </c>
      <c r="G15" t="s">
        <v>565</v>
      </c>
    </row>
    <row r="16" spans="1:7" x14ac:dyDescent="0.3">
      <c r="A16" t="s">
        <v>113</v>
      </c>
      <c r="B16" s="1" t="s">
        <v>266</v>
      </c>
      <c r="F16" t="s">
        <v>453</v>
      </c>
      <c r="G16" t="s">
        <v>452</v>
      </c>
    </row>
    <row r="17" spans="1:7" x14ac:dyDescent="0.3">
      <c r="A17" t="s">
        <v>114</v>
      </c>
      <c r="B17" t="s">
        <v>265</v>
      </c>
      <c r="F17" s="4" t="s">
        <v>468</v>
      </c>
      <c r="G17" t="s">
        <v>460</v>
      </c>
    </row>
    <row r="18" spans="1:7" x14ac:dyDescent="0.3">
      <c r="A18" t="s">
        <v>115</v>
      </c>
      <c r="B18" t="s">
        <v>153</v>
      </c>
      <c r="F18" t="s">
        <v>452</v>
      </c>
      <c r="G18" t="s">
        <v>466</v>
      </c>
    </row>
    <row r="19" spans="1:7" x14ac:dyDescent="0.3">
      <c r="A19" t="s">
        <v>116</v>
      </c>
      <c r="B19" t="s">
        <v>104</v>
      </c>
      <c r="F19" t="s">
        <v>492</v>
      </c>
      <c r="G19" t="s">
        <v>424</v>
      </c>
    </row>
    <row r="20" spans="1:7" x14ac:dyDescent="0.3">
      <c r="A20" s="4" t="s">
        <v>553</v>
      </c>
      <c r="B20" t="s">
        <v>117</v>
      </c>
      <c r="F20" t="s">
        <v>455</v>
      </c>
      <c r="G20" t="s">
        <v>428</v>
      </c>
    </row>
    <row r="21" spans="1:7" x14ac:dyDescent="0.3">
      <c r="A21" t="s">
        <v>118</v>
      </c>
      <c r="B21" t="s">
        <v>100</v>
      </c>
      <c r="F21" t="s">
        <v>449</v>
      </c>
      <c r="G21" t="s">
        <v>414</v>
      </c>
    </row>
    <row r="22" spans="1:7" x14ac:dyDescent="0.3">
      <c r="A22" t="s">
        <v>119</v>
      </c>
      <c r="B22" t="s">
        <v>120</v>
      </c>
      <c r="F22" t="s">
        <v>476</v>
      </c>
      <c r="G22" t="s">
        <v>449</v>
      </c>
    </row>
    <row r="23" spans="1:7" x14ac:dyDescent="0.3">
      <c r="A23" t="s">
        <v>121</v>
      </c>
      <c r="B23" t="s">
        <v>122</v>
      </c>
      <c r="F23" s="4" t="s">
        <v>55</v>
      </c>
      <c r="G23" t="s">
        <v>432</v>
      </c>
    </row>
    <row r="24" spans="1:7" x14ac:dyDescent="0.3">
      <c r="A24" t="s">
        <v>120</v>
      </c>
      <c r="B24" t="s">
        <v>113</v>
      </c>
      <c r="F24" t="s">
        <v>435</v>
      </c>
      <c r="G24" t="s">
        <v>414</v>
      </c>
    </row>
    <row r="25" spans="1:7" x14ac:dyDescent="0.3">
      <c r="A25" t="s">
        <v>123</v>
      </c>
      <c r="B25" s="1" t="s">
        <v>506</v>
      </c>
      <c r="F25" s="4" t="s">
        <v>458</v>
      </c>
      <c r="G25" t="s">
        <v>567</v>
      </c>
    </row>
    <row r="26" spans="1:7" x14ac:dyDescent="0.3">
      <c r="A26" t="s">
        <v>124</v>
      </c>
      <c r="B26" s="1" t="s">
        <v>111</v>
      </c>
      <c r="F26" t="s">
        <v>488</v>
      </c>
      <c r="G26" t="s">
        <v>566</v>
      </c>
    </row>
    <row r="27" spans="1:7" x14ac:dyDescent="0.3">
      <c r="A27" t="s">
        <v>277</v>
      </c>
      <c r="B27" s="1" t="s">
        <v>507</v>
      </c>
      <c r="F27" t="s">
        <v>457</v>
      </c>
      <c r="G27" t="s">
        <v>451</v>
      </c>
    </row>
    <row r="28" spans="1:7" x14ac:dyDescent="0.3">
      <c r="A28" s="4" t="s">
        <v>554</v>
      </c>
      <c r="B28" t="s">
        <v>125</v>
      </c>
      <c r="F28" t="s">
        <v>424</v>
      </c>
      <c r="G28" t="s">
        <v>487</v>
      </c>
    </row>
    <row r="29" spans="1:7" x14ac:dyDescent="0.3">
      <c r="A29" t="s">
        <v>126</v>
      </c>
      <c r="B29" t="s">
        <v>127</v>
      </c>
      <c r="F29" s="4" t="s">
        <v>73</v>
      </c>
      <c r="G29" t="s">
        <v>435</v>
      </c>
    </row>
    <row r="30" spans="1:7" x14ac:dyDescent="0.3">
      <c r="A30" t="s">
        <v>128</v>
      </c>
      <c r="B30" t="s">
        <v>129</v>
      </c>
      <c r="F30" t="s">
        <v>465</v>
      </c>
      <c r="G30" t="s">
        <v>428</v>
      </c>
    </row>
    <row r="31" spans="1:7" x14ac:dyDescent="0.3">
      <c r="A31" t="s">
        <v>130</v>
      </c>
      <c r="B31" t="s">
        <v>107</v>
      </c>
      <c r="F31" t="s">
        <v>429</v>
      </c>
      <c r="G31" t="s">
        <v>428</v>
      </c>
    </row>
    <row r="32" spans="1:7" x14ac:dyDescent="0.3">
      <c r="A32" t="s">
        <v>131</v>
      </c>
      <c r="B32" t="s">
        <v>103</v>
      </c>
      <c r="F32" t="s">
        <v>432</v>
      </c>
      <c r="G32" t="s">
        <v>435</v>
      </c>
    </row>
    <row r="33" spans="1:7" x14ac:dyDescent="0.3">
      <c r="A33" t="s">
        <v>132</v>
      </c>
      <c r="B33" t="s">
        <v>97</v>
      </c>
      <c r="F33" t="s">
        <v>474</v>
      </c>
      <c r="G33" t="s">
        <v>433</v>
      </c>
    </row>
    <row r="34" spans="1:7" x14ac:dyDescent="0.3">
      <c r="A34" s="4" t="s">
        <v>555</v>
      </c>
      <c r="B34" t="s">
        <v>97</v>
      </c>
      <c r="F34" t="s">
        <v>482</v>
      </c>
      <c r="G34" t="s">
        <v>433</v>
      </c>
    </row>
    <row r="35" spans="1:7" x14ac:dyDescent="0.3">
      <c r="A35" t="s">
        <v>617</v>
      </c>
      <c r="B35" t="s">
        <v>133</v>
      </c>
      <c r="G35" t="s">
        <v>428</v>
      </c>
    </row>
    <row r="36" spans="1:7" x14ac:dyDescent="0.3">
      <c r="A36" t="s">
        <v>134</v>
      </c>
      <c r="B36" t="s">
        <v>119</v>
      </c>
      <c r="G36" t="s">
        <v>428</v>
      </c>
    </row>
    <row r="37" spans="1:7" x14ac:dyDescent="0.3">
      <c r="A37" t="s">
        <v>520</v>
      </c>
      <c r="B37" t="s">
        <v>122</v>
      </c>
      <c r="G37" t="s">
        <v>432</v>
      </c>
    </row>
    <row r="38" spans="1:7" x14ac:dyDescent="0.3">
      <c r="A38" t="s">
        <v>509</v>
      </c>
      <c r="B38" t="s">
        <v>136</v>
      </c>
      <c r="G38" t="s">
        <v>428</v>
      </c>
    </row>
    <row r="39" spans="1:7" x14ac:dyDescent="0.3">
      <c r="A39" s="4" t="s">
        <v>556</v>
      </c>
      <c r="B39" t="s">
        <v>97</v>
      </c>
      <c r="G39" t="s">
        <v>433</v>
      </c>
    </row>
    <row r="40" spans="1:7" x14ac:dyDescent="0.3">
      <c r="A40" t="s">
        <v>109</v>
      </c>
      <c r="B40" t="s">
        <v>129</v>
      </c>
      <c r="G40" t="s">
        <v>428</v>
      </c>
    </row>
    <row r="41" spans="1:7" x14ac:dyDescent="0.3">
      <c r="A41" t="s">
        <v>137</v>
      </c>
      <c r="B41" t="s">
        <v>112</v>
      </c>
      <c r="G41" t="s">
        <v>428</v>
      </c>
    </row>
    <row r="42" spans="1:7" x14ac:dyDescent="0.3">
      <c r="A42" s="4" t="s">
        <v>557</v>
      </c>
      <c r="B42" t="s">
        <v>136</v>
      </c>
      <c r="G42" t="s">
        <v>428</v>
      </c>
    </row>
    <row r="43" spans="1:7" x14ac:dyDescent="0.3">
      <c r="A43" t="s">
        <v>138</v>
      </c>
      <c r="B43" t="s">
        <v>132</v>
      </c>
      <c r="G43" t="s">
        <v>428</v>
      </c>
    </row>
    <row r="44" spans="1:7" x14ac:dyDescent="0.3">
      <c r="A44" t="s">
        <v>522</v>
      </c>
      <c r="B44" t="s">
        <v>97</v>
      </c>
      <c r="G44" t="s">
        <v>433</v>
      </c>
    </row>
    <row r="45" spans="1:7" x14ac:dyDescent="0.3">
      <c r="A45" t="s">
        <v>140</v>
      </c>
      <c r="B45" t="s">
        <v>103</v>
      </c>
      <c r="G45" t="s">
        <v>435</v>
      </c>
    </row>
    <row r="46" spans="1:7" x14ac:dyDescent="0.3">
      <c r="A46" t="s">
        <v>616</v>
      </c>
      <c r="B46" t="s">
        <v>139</v>
      </c>
      <c r="G46" t="s">
        <v>451</v>
      </c>
    </row>
    <row r="47" spans="1:7" x14ac:dyDescent="0.3">
      <c r="A47" s="4" t="s">
        <v>558</v>
      </c>
      <c r="B47" t="s">
        <v>141</v>
      </c>
      <c r="G47" t="s">
        <v>451</v>
      </c>
    </row>
    <row r="48" spans="1:7" x14ac:dyDescent="0.3">
      <c r="A48" s="4" t="s">
        <v>559</v>
      </c>
      <c r="B48" t="s">
        <v>508</v>
      </c>
      <c r="G48" t="s">
        <v>466</v>
      </c>
    </row>
    <row r="49" spans="1:7" x14ac:dyDescent="0.3">
      <c r="A49" t="s">
        <v>552</v>
      </c>
      <c r="B49" t="s">
        <v>143</v>
      </c>
      <c r="G49" t="s">
        <v>447</v>
      </c>
    </row>
    <row r="50" spans="1:7" x14ac:dyDescent="0.3">
      <c r="A50" t="s">
        <v>528</v>
      </c>
      <c r="B50" t="s">
        <v>144</v>
      </c>
      <c r="G50" t="s">
        <v>568</v>
      </c>
    </row>
    <row r="51" spans="1:7" x14ac:dyDescent="0.3">
      <c r="A51" t="s">
        <v>147</v>
      </c>
      <c r="B51" t="s">
        <v>145</v>
      </c>
      <c r="G51" t="s">
        <v>428</v>
      </c>
    </row>
    <row r="52" spans="1:7" x14ac:dyDescent="0.3">
      <c r="A52" s="4" t="s">
        <v>560</v>
      </c>
      <c r="B52" t="s">
        <v>146</v>
      </c>
      <c r="G52" t="s">
        <v>564</v>
      </c>
    </row>
    <row r="53" spans="1:7" x14ac:dyDescent="0.3">
      <c r="A53" t="s">
        <v>615</v>
      </c>
      <c r="B53" t="s">
        <v>118</v>
      </c>
      <c r="G53" t="s">
        <v>428</v>
      </c>
    </row>
    <row r="54" spans="1:7" x14ac:dyDescent="0.3">
      <c r="A54" t="s">
        <v>103</v>
      </c>
      <c r="B54" t="s">
        <v>148</v>
      </c>
      <c r="G54" t="s">
        <v>451</v>
      </c>
    </row>
    <row r="55" spans="1:7" x14ac:dyDescent="0.3">
      <c r="A55" t="s">
        <v>614</v>
      </c>
      <c r="B55" t="s">
        <v>509</v>
      </c>
      <c r="G55" t="s">
        <v>452</v>
      </c>
    </row>
    <row r="56" spans="1:7" x14ac:dyDescent="0.3">
      <c r="A56" t="s">
        <v>152</v>
      </c>
      <c r="B56" s="1" t="s">
        <v>510</v>
      </c>
      <c r="G56" t="s">
        <v>569</v>
      </c>
    </row>
    <row r="57" spans="1:7" x14ac:dyDescent="0.3">
      <c r="A57" t="s">
        <v>105</v>
      </c>
      <c r="B57" t="s">
        <v>149</v>
      </c>
      <c r="G57" t="s">
        <v>564</v>
      </c>
    </row>
    <row r="58" spans="1:7" x14ac:dyDescent="0.3">
      <c r="A58" t="s">
        <v>154</v>
      </c>
      <c r="B58" t="s">
        <v>97</v>
      </c>
      <c r="G58" t="s">
        <v>433</v>
      </c>
    </row>
    <row r="59" spans="1:7" x14ac:dyDescent="0.3">
      <c r="A59" s="4" t="s">
        <v>561</v>
      </c>
      <c r="B59" t="s">
        <v>151</v>
      </c>
      <c r="G59" t="s">
        <v>428</v>
      </c>
    </row>
    <row r="60" spans="1:7" x14ac:dyDescent="0.3">
      <c r="A60" t="s">
        <v>156</v>
      </c>
      <c r="B60" s="1" t="s">
        <v>511</v>
      </c>
      <c r="G60" t="s">
        <v>451</v>
      </c>
    </row>
    <row r="61" spans="1:7" x14ac:dyDescent="0.3">
      <c r="A61" t="s">
        <v>620</v>
      </c>
      <c r="B61" t="s">
        <v>148</v>
      </c>
      <c r="G61" t="s">
        <v>451</v>
      </c>
    </row>
    <row r="62" spans="1:7" x14ac:dyDescent="0.3">
      <c r="A62" t="s">
        <v>104</v>
      </c>
      <c r="B62" t="s">
        <v>509</v>
      </c>
      <c r="G62" t="s">
        <v>452</v>
      </c>
    </row>
    <row r="63" spans="1:7" x14ac:dyDescent="0.3">
      <c r="A63" t="s">
        <v>160</v>
      </c>
      <c r="B63" t="s">
        <v>153</v>
      </c>
      <c r="G63" t="s">
        <v>466</v>
      </c>
    </row>
    <row r="64" spans="1:7" x14ac:dyDescent="0.3">
      <c r="A64" t="s">
        <v>122</v>
      </c>
      <c r="B64" t="s">
        <v>112</v>
      </c>
      <c r="G64" t="s">
        <v>428</v>
      </c>
    </row>
    <row r="65" spans="1:7" x14ac:dyDescent="0.3">
      <c r="A65" t="s">
        <v>162</v>
      </c>
      <c r="B65" t="s">
        <v>97</v>
      </c>
      <c r="G65" t="s">
        <v>433</v>
      </c>
    </row>
    <row r="66" spans="1:7" x14ac:dyDescent="0.3">
      <c r="A66" t="s">
        <v>163</v>
      </c>
      <c r="B66" s="1" t="s">
        <v>155</v>
      </c>
      <c r="G66" t="s">
        <v>565</v>
      </c>
    </row>
    <row r="67" spans="1:7" x14ac:dyDescent="0.3">
      <c r="A67" t="s">
        <v>165</v>
      </c>
      <c r="B67" t="s">
        <v>157</v>
      </c>
      <c r="G67" t="s">
        <v>441</v>
      </c>
    </row>
    <row r="68" spans="1:7" x14ac:dyDescent="0.3">
      <c r="A68" t="s">
        <v>167</v>
      </c>
      <c r="B68" t="s">
        <v>159</v>
      </c>
      <c r="G68" t="s">
        <v>441</v>
      </c>
    </row>
    <row r="69" spans="1:7" x14ac:dyDescent="0.3">
      <c r="A69" s="4" t="s">
        <v>562</v>
      </c>
      <c r="B69" t="s">
        <v>123</v>
      </c>
      <c r="G69" t="s">
        <v>489</v>
      </c>
    </row>
    <row r="70" spans="1:7" x14ac:dyDescent="0.3">
      <c r="A70" t="s">
        <v>170</v>
      </c>
      <c r="B70" t="s">
        <v>161</v>
      </c>
      <c r="G70" t="s">
        <v>570</v>
      </c>
    </row>
    <row r="71" spans="1:7" x14ac:dyDescent="0.3">
      <c r="A71" t="s">
        <v>172</v>
      </c>
      <c r="B71" t="s">
        <v>124</v>
      </c>
      <c r="G71" t="s">
        <v>489</v>
      </c>
    </row>
    <row r="72" spans="1:7" x14ac:dyDescent="0.3">
      <c r="A72" t="s">
        <v>173</v>
      </c>
      <c r="B72" t="s">
        <v>161</v>
      </c>
      <c r="G72" t="s">
        <v>570</v>
      </c>
    </row>
    <row r="73" spans="1:7" x14ac:dyDescent="0.3">
      <c r="A73" t="s">
        <v>174</v>
      </c>
      <c r="B73" t="s">
        <v>164</v>
      </c>
      <c r="G73" t="s">
        <v>436</v>
      </c>
    </row>
    <row r="74" spans="1:7" x14ac:dyDescent="0.3">
      <c r="A74" s="4" t="s">
        <v>563</v>
      </c>
      <c r="B74" t="s">
        <v>166</v>
      </c>
      <c r="G74" t="s">
        <v>488</v>
      </c>
    </row>
    <row r="75" spans="1:7" x14ac:dyDescent="0.3">
      <c r="B75" t="s">
        <v>168</v>
      </c>
      <c r="G75" t="s">
        <v>415</v>
      </c>
    </row>
    <row r="76" spans="1:7" x14ac:dyDescent="0.3">
      <c r="B76" t="s">
        <v>169</v>
      </c>
      <c r="G76" t="s">
        <v>416</v>
      </c>
    </row>
    <row r="77" spans="1:7" x14ac:dyDescent="0.3">
      <c r="B77" t="s">
        <v>171</v>
      </c>
      <c r="G77" t="s">
        <v>571</v>
      </c>
    </row>
    <row r="78" spans="1:7" x14ac:dyDescent="0.3">
      <c r="B78" t="s">
        <v>166</v>
      </c>
      <c r="G78" t="s">
        <v>488</v>
      </c>
    </row>
    <row r="79" spans="1:7" x14ac:dyDescent="0.3">
      <c r="B79" t="s">
        <v>113</v>
      </c>
      <c r="G79" t="s">
        <v>414</v>
      </c>
    </row>
    <row r="80" spans="1:7" x14ac:dyDescent="0.3">
      <c r="B80" t="s">
        <v>175</v>
      </c>
      <c r="G80" t="s">
        <v>418</v>
      </c>
    </row>
    <row r="81" spans="2:7" x14ac:dyDescent="0.3">
      <c r="B81" t="s">
        <v>102</v>
      </c>
      <c r="G81" t="s">
        <v>419</v>
      </c>
    </row>
    <row r="82" spans="2:7" x14ac:dyDescent="0.3">
      <c r="B82" t="s">
        <v>176</v>
      </c>
      <c r="G82" t="s">
        <v>420</v>
      </c>
    </row>
    <row r="83" spans="2:7" x14ac:dyDescent="0.3">
      <c r="B83" t="s">
        <v>177</v>
      </c>
      <c r="G83" t="s">
        <v>572</v>
      </c>
    </row>
    <row r="84" spans="2:7" x14ac:dyDescent="0.3">
      <c r="B84" t="s">
        <v>104</v>
      </c>
      <c r="G84" t="s">
        <v>424</v>
      </c>
    </row>
    <row r="85" spans="2:7" x14ac:dyDescent="0.3">
      <c r="B85" t="s">
        <v>178</v>
      </c>
      <c r="G85" t="s">
        <v>424</v>
      </c>
    </row>
    <row r="86" spans="2:7" x14ac:dyDescent="0.3">
      <c r="B86" t="s">
        <v>104</v>
      </c>
      <c r="G86" t="s">
        <v>424</v>
      </c>
    </row>
    <row r="87" spans="2:7" x14ac:dyDescent="0.3">
      <c r="B87" t="s">
        <v>104</v>
      </c>
      <c r="G87" t="s">
        <v>424</v>
      </c>
    </row>
    <row r="88" spans="2:7" x14ac:dyDescent="0.3">
      <c r="B88" t="s">
        <v>133</v>
      </c>
      <c r="G88" t="s">
        <v>428</v>
      </c>
    </row>
    <row r="89" spans="2:7" x14ac:dyDescent="0.3">
      <c r="B89" t="s">
        <v>107</v>
      </c>
      <c r="G89" t="s">
        <v>428</v>
      </c>
    </row>
    <row r="90" spans="2:7" x14ac:dyDescent="0.3">
      <c r="B90" t="s">
        <v>129</v>
      </c>
      <c r="G90" t="s">
        <v>428</v>
      </c>
    </row>
    <row r="91" spans="2:7" x14ac:dyDescent="0.3">
      <c r="B91" s="1" t="s">
        <v>117</v>
      </c>
      <c r="G91" t="s">
        <v>428</v>
      </c>
    </row>
    <row r="92" spans="2:7" x14ac:dyDescent="0.3">
      <c r="B92" t="s">
        <v>179</v>
      </c>
      <c r="G92" t="s">
        <v>428</v>
      </c>
    </row>
    <row r="93" spans="2:7" x14ac:dyDescent="0.3">
      <c r="B93" t="s">
        <v>180</v>
      </c>
      <c r="G93" t="s">
        <v>428</v>
      </c>
    </row>
    <row r="94" spans="2:7" x14ac:dyDescent="0.3">
      <c r="B94" t="s">
        <v>181</v>
      </c>
      <c r="G94" t="s">
        <v>428</v>
      </c>
    </row>
    <row r="95" spans="2:7" x14ac:dyDescent="0.3">
      <c r="B95" t="s">
        <v>181</v>
      </c>
      <c r="G95" t="s">
        <v>428</v>
      </c>
    </row>
    <row r="96" spans="2:7" x14ac:dyDescent="0.3">
      <c r="B96" t="s">
        <v>182</v>
      </c>
      <c r="G96" t="s">
        <v>428</v>
      </c>
    </row>
    <row r="97" spans="2:7" x14ac:dyDescent="0.3">
      <c r="B97" t="s">
        <v>183</v>
      </c>
      <c r="G97" t="s">
        <v>428</v>
      </c>
    </row>
    <row r="98" spans="2:7" x14ac:dyDescent="0.3">
      <c r="B98" t="s">
        <v>105</v>
      </c>
      <c r="G98" t="s">
        <v>428</v>
      </c>
    </row>
    <row r="99" spans="2:7" x14ac:dyDescent="0.3">
      <c r="B99" t="s">
        <v>133</v>
      </c>
      <c r="G99" t="s">
        <v>428</v>
      </c>
    </row>
    <row r="100" spans="2:7" x14ac:dyDescent="0.3">
      <c r="B100" t="s">
        <v>132</v>
      </c>
      <c r="G100" t="s">
        <v>428</v>
      </c>
    </row>
    <row r="101" spans="2:7" x14ac:dyDescent="0.3">
      <c r="B101" t="s">
        <v>184</v>
      </c>
      <c r="G101" t="s">
        <v>428</v>
      </c>
    </row>
    <row r="102" spans="2:7" x14ac:dyDescent="0.3">
      <c r="B102" t="s">
        <v>184</v>
      </c>
      <c r="G102" t="s">
        <v>428</v>
      </c>
    </row>
    <row r="103" spans="2:7" x14ac:dyDescent="0.3">
      <c r="B103" t="s">
        <v>98</v>
      </c>
      <c r="G103" t="s">
        <v>428</v>
      </c>
    </row>
    <row r="104" spans="2:7" x14ac:dyDescent="0.3">
      <c r="B104" t="s">
        <v>118</v>
      </c>
      <c r="G104" t="s">
        <v>428</v>
      </c>
    </row>
    <row r="105" spans="2:7" x14ac:dyDescent="0.3">
      <c r="B105" t="s">
        <v>118</v>
      </c>
      <c r="G105" t="s">
        <v>428</v>
      </c>
    </row>
    <row r="106" spans="2:7" x14ac:dyDescent="0.3">
      <c r="B106" t="s">
        <v>172</v>
      </c>
      <c r="G106" t="s">
        <v>428</v>
      </c>
    </row>
    <row r="107" spans="2:7" x14ac:dyDescent="0.3">
      <c r="B107" t="s">
        <v>185</v>
      </c>
      <c r="G107" t="s">
        <v>431</v>
      </c>
    </row>
    <row r="108" spans="2:7" x14ac:dyDescent="0.3">
      <c r="B108" t="s">
        <v>186</v>
      </c>
      <c r="G108" t="s">
        <v>431</v>
      </c>
    </row>
    <row r="109" spans="2:7" x14ac:dyDescent="0.3">
      <c r="B109" t="s">
        <v>187</v>
      </c>
      <c r="G109" t="s">
        <v>573</v>
      </c>
    </row>
    <row r="110" spans="2:7" x14ac:dyDescent="0.3">
      <c r="B110" t="s">
        <v>103</v>
      </c>
      <c r="G110" t="s">
        <v>435</v>
      </c>
    </row>
    <row r="111" spans="2:7" x14ac:dyDescent="0.3">
      <c r="B111" t="s">
        <v>188</v>
      </c>
      <c r="G111" t="s">
        <v>435</v>
      </c>
    </row>
    <row r="112" spans="2:7" x14ac:dyDescent="0.3">
      <c r="B112" t="s">
        <v>189</v>
      </c>
      <c r="G112" t="s">
        <v>435</v>
      </c>
    </row>
    <row r="113" spans="2:7" x14ac:dyDescent="0.3">
      <c r="B113" t="s">
        <v>189</v>
      </c>
      <c r="G113" t="s">
        <v>435</v>
      </c>
    </row>
    <row r="114" spans="2:7" x14ac:dyDescent="0.3">
      <c r="B114" t="s">
        <v>189</v>
      </c>
      <c r="G114" t="s">
        <v>435</v>
      </c>
    </row>
    <row r="115" spans="2:7" x14ac:dyDescent="0.3">
      <c r="B115" t="s">
        <v>103</v>
      </c>
      <c r="G115" t="s">
        <v>435</v>
      </c>
    </row>
    <row r="116" spans="2:7" x14ac:dyDescent="0.3">
      <c r="B116" t="s">
        <v>189</v>
      </c>
      <c r="G116" t="s">
        <v>435</v>
      </c>
    </row>
    <row r="117" spans="2:7" x14ac:dyDescent="0.3">
      <c r="B117" t="s">
        <v>190</v>
      </c>
      <c r="G117" t="s">
        <v>434</v>
      </c>
    </row>
    <row r="118" spans="2:7" x14ac:dyDescent="0.3">
      <c r="B118" t="s">
        <v>191</v>
      </c>
      <c r="G118" t="s">
        <v>434</v>
      </c>
    </row>
    <row r="119" spans="2:7" x14ac:dyDescent="0.3">
      <c r="B119" t="s">
        <v>192</v>
      </c>
      <c r="G119" t="s">
        <v>434</v>
      </c>
    </row>
    <row r="120" spans="2:7" x14ac:dyDescent="0.3">
      <c r="B120" t="s">
        <v>193</v>
      </c>
      <c r="G120" t="s">
        <v>485</v>
      </c>
    </row>
    <row r="121" spans="2:7" x14ac:dyDescent="0.3">
      <c r="B121" t="s">
        <v>194</v>
      </c>
      <c r="G121" t="s">
        <v>437</v>
      </c>
    </row>
    <row r="122" spans="2:7" x14ac:dyDescent="0.3">
      <c r="B122" t="s">
        <v>194</v>
      </c>
      <c r="G122" t="s">
        <v>437</v>
      </c>
    </row>
    <row r="123" spans="2:7" x14ac:dyDescent="0.3">
      <c r="B123" t="s">
        <v>195</v>
      </c>
      <c r="G123" t="s">
        <v>437</v>
      </c>
    </row>
    <row r="124" spans="2:7" x14ac:dyDescent="0.3">
      <c r="B124" t="s">
        <v>196</v>
      </c>
      <c r="G124" t="s">
        <v>437</v>
      </c>
    </row>
    <row r="125" spans="2:7" x14ac:dyDescent="0.3">
      <c r="B125" t="s">
        <v>197</v>
      </c>
      <c r="G125" t="s">
        <v>437</v>
      </c>
    </row>
    <row r="126" spans="2:7" x14ac:dyDescent="0.3">
      <c r="B126" t="s">
        <v>194</v>
      </c>
      <c r="G126" t="s">
        <v>437</v>
      </c>
    </row>
    <row r="127" spans="2:7" x14ac:dyDescent="0.3">
      <c r="B127" t="s">
        <v>198</v>
      </c>
      <c r="G127" t="s">
        <v>574</v>
      </c>
    </row>
    <row r="128" spans="2:7" x14ac:dyDescent="0.3">
      <c r="B128" t="s">
        <v>199</v>
      </c>
      <c r="G128" t="s">
        <v>574</v>
      </c>
    </row>
    <row r="129" spans="2:7" x14ac:dyDescent="0.3">
      <c r="B129" t="s">
        <v>199</v>
      </c>
      <c r="G129" t="s">
        <v>574</v>
      </c>
    </row>
    <row r="130" spans="2:7" x14ac:dyDescent="0.3">
      <c r="B130" t="s">
        <v>200</v>
      </c>
      <c r="G130" t="s">
        <v>575</v>
      </c>
    </row>
    <row r="131" spans="2:7" x14ac:dyDescent="0.3">
      <c r="B131" t="s">
        <v>201</v>
      </c>
      <c r="G131" t="s">
        <v>441</v>
      </c>
    </row>
    <row r="132" spans="2:7" x14ac:dyDescent="0.3">
      <c r="B132" t="s">
        <v>202</v>
      </c>
      <c r="G132" t="s">
        <v>441</v>
      </c>
    </row>
    <row r="133" spans="2:7" x14ac:dyDescent="0.3">
      <c r="B133" t="s">
        <v>203</v>
      </c>
      <c r="G133" t="s">
        <v>443</v>
      </c>
    </row>
    <row r="134" spans="2:7" x14ac:dyDescent="0.3">
      <c r="B134" t="s">
        <v>204</v>
      </c>
      <c r="G134" t="s">
        <v>443</v>
      </c>
    </row>
    <row r="135" spans="2:7" x14ac:dyDescent="0.3">
      <c r="B135" t="s">
        <v>205</v>
      </c>
      <c r="G135" t="s">
        <v>443</v>
      </c>
    </row>
    <row r="136" spans="2:7" x14ac:dyDescent="0.3">
      <c r="B136" t="s">
        <v>206</v>
      </c>
      <c r="G136" t="s">
        <v>448</v>
      </c>
    </row>
    <row r="137" spans="2:7" x14ac:dyDescent="0.3">
      <c r="B137" t="s">
        <v>207</v>
      </c>
      <c r="G137" t="s">
        <v>447</v>
      </c>
    </row>
    <row r="138" spans="2:7" x14ac:dyDescent="0.3">
      <c r="B138" t="s">
        <v>208</v>
      </c>
      <c r="G138" t="s">
        <v>450</v>
      </c>
    </row>
    <row r="139" spans="2:7" x14ac:dyDescent="0.3">
      <c r="B139" t="s">
        <v>116</v>
      </c>
      <c r="G139" t="s">
        <v>451</v>
      </c>
    </row>
    <row r="140" spans="2:7" x14ac:dyDescent="0.3">
      <c r="B140" t="s">
        <v>141</v>
      </c>
      <c r="G140" t="s">
        <v>451</v>
      </c>
    </row>
    <row r="141" spans="2:7" x14ac:dyDescent="0.3">
      <c r="B141" t="s">
        <v>158</v>
      </c>
      <c r="G141" t="s">
        <v>452</v>
      </c>
    </row>
    <row r="142" spans="2:7" x14ac:dyDescent="0.3">
      <c r="B142" t="s">
        <v>209</v>
      </c>
      <c r="G142" t="s">
        <v>576</v>
      </c>
    </row>
    <row r="143" spans="2:7" x14ac:dyDescent="0.3">
      <c r="B143" t="s">
        <v>143</v>
      </c>
      <c r="G143" t="s">
        <v>447</v>
      </c>
    </row>
    <row r="144" spans="2:7" x14ac:dyDescent="0.3">
      <c r="B144" s="1" t="s">
        <v>248</v>
      </c>
      <c r="G144" t="s">
        <v>447</v>
      </c>
    </row>
    <row r="145" spans="2:7" x14ac:dyDescent="0.3">
      <c r="B145" t="s">
        <v>121</v>
      </c>
      <c r="G145" t="s">
        <v>455</v>
      </c>
    </row>
    <row r="146" spans="2:7" x14ac:dyDescent="0.3">
      <c r="B146" t="s">
        <v>137</v>
      </c>
      <c r="G146" t="s">
        <v>447</v>
      </c>
    </row>
    <row r="147" spans="2:7" x14ac:dyDescent="0.3">
      <c r="B147" t="s">
        <v>137</v>
      </c>
      <c r="G147" t="s">
        <v>447</v>
      </c>
    </row>
    <row r="148" spans="2:7" x14ac:dyDescent="0.3">
      <c r="B148" t="s">
        <v>109</v>
      </c>
      <c r="G148" t="s">
        <v>565</v>
      </c>
    </row>
    <row r="149" spans="2:7" x14ac:dyDescent="0.3">
      <c r="B149" t="s">
        <v>496</v>
      </c>
      <c r="G149" t="s">
        <v>466</v>
      </c>
    </row>
    <row r="150" spans="2:7" x14ac:dyDescent="0.3">
      <c r="B150" t="s">
        <v>210</v>
      </c>
      <c r="G150" t="s">
        <v>466</v>
      </c>
    </row>
    <row r="151" spans="2:7" x14ac:dyDescent="0.3">
      <c r="B151" t="s">
        <v>618</v>
      </c>
      <c r="G151" t="s">
        <v>466</v>
      </c>
    </row>
    <row r="152" spans="2:7" x14ac:dyDescent="0.3">
      <c r="B152" t="s">
        <v>142</v>
      </c>
      <c r="G152" t="s">
        <v>459</v>
      </c>
    </row>
    <row r="153" spans="2:7" x14ac:dyDescent="0.3">
      <c r="B153" t="s">
        <v>211</v>
      </c>
      <c r="G153" t="s">
        <v>461</v>
      </c>
    </row>
    <row r="154" spans="2:7" x14ac:dyDescent="0.3">
      <c r="B154" t="s">
        <v>212</v>
      </c>
      <c r="G154" t="s">
        <v>462</v>
      </c>
    </row>
    <row r="155" spans="2:7" x14ac:dyDescent="0.3">
      <c r="B155" t="s">
        <v>212</v>
      </c>
      <c r="G155" t="s">
        <v>462</v>
      </c>
    </row>
    <row r="156" spans="2:7" x14ac:dyDescent="0.3">
      <c r="B156" t="s">
        <v>212</v>
      </c>
      <c r="G156" t="s">
        <v>462</v>
      </c>
    </row>
    <row r="157" spans="2:7" x14ac:dyDescent="0.3">
      <c r="B157" t="s">
        <v>213</v>
      </c>
      <c r="G157" t="s">
        <v>577</v>
      </c>
    </row>
    <row r="158" spans="2:7" x14ac:dyDescent="0.3">
      <c r="B158" t="s">
        <v>214</v>
      </c>
      <c r="G158" t="s">
        <v>577</v>
      </c>
    </row>
    <row r="159" spans="2:7" x14ac:dyDescent="0.3">
      <c r="B159" t="s">
        <v>215</v>
      </c>
      <c r="G159" t="s">
        <v>578</v>
      </c>
    </row>
    <row r="160" spans="2:7" x14ac:dyDescent="0.3">
      <c r="B160" t="s">
        <v>215</v>
      </c>
      <c r="G160" t="s">
        <v>578</v>
      </c>
    </row>
    <row r="161" spans="2:7" x14ac:dyDescent="0.3">
      <c r="B161" t="s">
        <v>215</v>
      </c>
      <c r="G161" t="s">
        <v>578</v>
      </c>
    </row>
    <row r="162" spans="2:7" x14ac:dyDescent="0.3">
      <c r="B162" t="s">
        <v>216</v>
      </c>
      <c r="G162" t="s">
        <v>579</v>
      </c>
    </row>
    <row r="163" spans="2:7" x14ac:dyDescent="0.3">
      <c r="B163" t="s">
        <v>217</v>
      </c>
      <c r="G163" t="s">
        <v>464</v>
      </c>
    </row>
    <row r="164" spans="2:7" x14ac:dyDescent="0.3">
      <c r="B164" t="s">
        <v>218</v>
      </c>
      <c r="G164" t="s">
        <v>580</v>
      </c>
    </row>
    <row r="165" spans="2:7" x14ac:dyDescent="0.3">
      <c r="B165" t="s">
        <v>219</v>
      </c>
      <c r="G165" t="s">
        <v>581</v>
      </c>
    </row>
    <row r="166" spans="2:7" x14ac:dyDescent="0.3">
      <c r="B166" t="s">
        <v>220</v>
      </c>
      <c r="G166" t="s">
        <v>582</v>
      </c>
    </row>
    <row r="167" spans="2:7" x14ac:dyDescent="0.3">
      <c r="B167" t="s">
        <v>221</v>
      </c>
      <c r="G167" t="s">
        <v>469</v>
      </c>
    </row>
    <row r="168" spans="2:7" x14ac:dyDescent="0.3">
      <c r="B168" t="s">
        <v>222</v>
      </c>
      <c r="G168" t="s">
        <v>470</v>
      </c>
    </row>
    <row r="169" spans="2:7" x14ac:dyDescent="0.3">
      <c r="B169" t="s">
        <v>223</v>
      </c>
    </row>
    <row r="170" spans="2:7" x14ac:dyDescent="0.3">
      <c r="B170" t="s">
        <v>224</v>
      </c>
      <c r="G170" t="s">
        <v>471</v>
      </c>
    </row>
    <row r="171" spans="2:7" x14ac:dyDescent="0.3">
      <c r="B171" t="s">
        <v>225</v>
      </c>
      <c r="G171" t="s">
        <v>473</v>
      </c>
    </row>
    <row r="172" spans="2:7" x14ac:dyDescent="0.3">
      <c r="B172" t="s">
        <v>226</v>
      </c>
      <c r="G172" t="s">
        <v>476</v>
      </c>
    </row>
    <row r="173" spans="2:7" x14ac:dyDescent="0.3">
      <c r="B173" t="s">
        <v>227</v>
      </c>
      <c r="G173" t="s">
        <v>477</v>
      </c>
    </row>
    <row r="174" spans="2:7" x14ac:dyDescent="0.3">
      <c r="B174" t="s">
        <v>228</v>
      </c>
      <c r="G174" t="s">
        <v>478</v>
      </c>
    </row>
    <row r="175" spans="2:7" x14ac:dyDescent="0.3">
      <c r="B175" t="s">
        <v>229</v>
      </c>
      <c r="G175" t="s">
        <v>583</v>
      </c>
    </row>
    <row r="176" spans="2:7" x14ac:dyDescent="0.3">
      <c r="B176" t="s">
        <v>230</v>
      </c>
      <c r="G176" t="s">
        <v>584</v>
      </c>
    </row>
    <row r="177" spans="2:7" x14ac:dyDescent="0.3">
      <c r="B177" t="s">
        <v>231</v>
      </c>
      <c r="G177" t="s">
        <v>481</v>
      </c>
    </row>
    <row r="178" spans="2:7" x14ac:dyDescent="0.3">
      <c r="B178" t="s">
        <v>232</v>
      </c>
      <c r="G178" t="s">
        <v>483</v>
      </c>
    </row>
    <row r="179" spans="2:7" x14ac:dyDescent="0.3">
      <c r="B179" t="s">
        <v>233</v>
      </c>
      <c r="G179" t="s">
        <v>486</v>
      </c>
    </row>
    <row r="180" spans="2:7" x14ac:dyDescent="0.3">
      <c r="B180" t="s">
        <v>234</v>
      </c>
      <c r="G180" t="s">
        <v>488</v>
      </c>
    </row>
    <row r="181" spans="2:7" x14ac:dyDescent="0.3">
      <c r="B181" t="s">
        <v>166</v>
      </c>
      <c r="G181" t="s">
        <v>488</v>
      </c>
    </row>
    <row r="182" spans="2:7" x14ac:dyDescent="0.3">
      <c r="B182" t="s">
        <v>235</v>
      </c>
      <c r="G182" t="s">
        <v>414</v>
      </c>
    </row>
    <row r="183" spans="2:7" x14ac:dyDescent="0.3">
      <c r="B183" t="s">
        <v>236</v>
      </c>
      <c r="G183" t="s">
        <v>444</v>
      </c>
    </row>
    <row r="184" spans="2:7" x14ac:dyDescent="0.3">
      <c r="B184" t="s">
        <v>237</v>
      </c>
      <c r="G184" t="s">
        <v>582</v>
      </c>
    </row>
    <row r="185" spans="2:7" x14ac:dyDescent="0.3">
      <c r="B185" t="s">
        <v>195</v>
      </c>
      <c r="G185" t="s">
        <v>437</v>
      </c>
    </row>
    <row r="186" spans="2:7" x14ac:dyDescent="0.3">
      <c r="B186" t="s">
        <v>100</v>
      </c>
      <c r="G186" t="s">
        <v>414</v>
      </c>
    </row>
    <row r="187" spans="2:7" x14ac:dyDescent="0.3">
      <c r="B187" t="s">
        <v>238</v>
      </c>
      <c r="G187" t="s">
        <v>425</v>
      </c>
    </row>
    <row r="188" spans="2:7" x14ac:dyDescent="0.3">
      <c r="B188" t="s">
        <v>239</v>
      </c>
    </row>
    <row r="189" spans="2:7" x14ac:dyDescent="0.3">
      <c r="B189" t="s">
        <v>494</v>
      </c>
      <c r="G189" t="s">
        <v>438</v>
      </c>
    </row>
    <row r="190" spans="2:7" x14ac:dyDescent="0.3">
      <c r="B190" t="s">
        <v>240</v>
      </c>
      <c r="G190" t="s">
        <v>443</v>
      </c>
    </row>
    <row r="191" spans="2:7" x14ac:dyDescent="0.3">
      <c r="B191" t="s">
        <v>240</v>
      </c>
      <c r="G191" t="s">
        <v>443</v>
      </c>
    </row>
    <row r="192" spans="2:7" x14ac:dyDescent="0.3">
      <c r="B192" t="s">
        <v>509</v>
      </c>
      <c r="G192" t="s">
        <v>452</v>
      </c>
    </row>
    <row r="193" spans="2:7" x14ac:dyDescent="0.3">
      <c r="B193" t="s">
        <v>497</v>
      </c>
      <c r="G193" t="s">
        <v>585</v>
      </c>
    </row>
    <row r="194" spans="2:7" x14ac:dyDescent="0.3">
      <c r="B194" t="s">
        <v>241</v>
      </c>
      <c r="G194" t="s">
        <v>435</v>
      </c>
    </row>
    <row r="195" spans="2:7" x14ac:dyDescent="0.3">
      <c r="B195" t="s">
        <v>242</v>
      </c>
      <c r="G195" t="s">
        <v>428</v>
      </c>
    </row>
    <row r="196" spans="2:7" x14ac:dyDescent="0.3">
      <c r="B196" t="s">
        <v>243</v>
      </c>
      <c r="G196" t="s">
        <v>456</v>
      </c>
    </row>
    <row r="197" spans="2:7" x14ac:dyDescent="0.3">
      <c r="B197" t="s">
        <v>179</v>
      </c>
      <c r="G197" t="s">
        <v>428</v>
      </c>
    </row>
    <row r="198" spans="2:7" x14ac:dyDescent="0.3">
      <c r="B198" t="s">
        <v>150</v>
      </c>
      <c r="G198" t="s">
        <v>465</v>
      </c>
    </row>
    <row r="199" spans="2:7" x14ac:dyDescent="0.3">
      <c r="B199" t="s">
        <v>244</v>
      </c>
      <c r="G199" t="s">
        <v>422</v>
      </c>
    </row>
    <row r="200" spans="2:7" x14ac:dyDescent="0.3">
      <c r="B200" t="s">
        <v>245</v>
      </c>
      <c r="G200" t="s">
        <v>485</v>
      </c>
    </row>
    <row r="201" spans="2:7" x14ac:dyDescent="0.3">
      <c r="B201" t="s">
        <v>246</v>
      </c>
      <c r="G201" t="s">
        <v>426</v>
      </c>
    </row>
    <row r="202" spans="2:7" x14ac:dyDescent="0.3">
      <c r="B202" t="s">
        <v>247</v>
      </c>
      <c r="G202" t="s">
        <v>421</v>
      </c>
    </row>
    <row r="203" spans="2:7" x14ac:dyDescent="0.3">
      <c r="B203" t="s">
        <v>495</v>
      </c>
      <c r="G203" t="s">
        <v>586</v>
      </c>
    </row>
    <row r="204" spans="2:7" x14ac:dyDescent="0.3">
      <c r="B204" t="s">
        <v>97</v>
      </c>
      <c r="G204" t="s">
        <v>433</v>
      </c>
    </row>
    <row r="205" spans="2:7" x14ac:dyDescent="0.3">
      <c r="B205" t="s">
        <v>112</v>
      </c>
      <c r="G205" t="s">
        <v>428</v>
      </c>
    </row>
    <row r="206" spans="2:7" x14ac:dyDescent="0.3">
      <c r="B206" s="1" t="s">
        <v>138</v>
      </c>
      <c r="G206" t="s">
        <v>459</v>
      </c>
    </row>
    <row r="207" spans="2:7" x14ac:dyDescent="0.3">
      <c r="B207" s="1" t="s">
        <v>248</v>
      </c>
      <c r="G207" t="s">
        <v>447</v>
      </c>
    </row>
    <row r="208" spans="2:7" x14ac:dyDescent="0.3">
      <c r="B208" s="1" t="s">
        <v>111</v>
      </c>
      <c r="G208" t="s">
        <v>566</v>
      </c>
    </row>
    <row r="209" spans="2:7" x14ac:dyDescent="0.3">
      <c r="B209" s="1" t="s">
        <v>249</v>
      </c>
      <c r="G209" t="s">
        <v>451</v>
      </c>
    </row>
    <row r="210" spans="2:7" x14ac:dyDescent="0.3">
      <c r="B210" t="s">
        <v>250</v>
      </c>
      <c r="G210" t="s">
        <v>415</v>
      </c>
    </row>
    <row r="211" spans="2:7" x14ac:dyDescent="0.3">
      <c r="B211" s="1" t="s">
        <v>512</v>
      </c>
      <c r="G211" t="s">
        <v>466</v>
      </c>
    </row>
    <row r="212" spans="2:7" x14ac:dyDescent="0.3">
      <c r="B212" s="1" t="s">
        <v>316</v>
      </c>
      <c r="G212" t="s">
        <v>431</v>
      </c>
    </row>
    <row r="213" spans="2:7" x14ac:dyDescent="0.3">
      <c r="B213" t="s">
        <v>303</v>
      </c>
      <c r="G213" t="s">
        <v>430</v>
      </c>
    </row>
    <row r="214" spans="2:7" x14ac:dyDescent="0.3">
      <c r="B214" s="1" t="s">
        <v>513</v>
      </c>
      <c r="G214" t="s">
        <v>451</v>
      </c>
    </row>
    <row r="215" spans="2:7" x14ac:dyDescent="0.3">
      <c r="B215" t="s">
        <v>290</v>
      </c>
      <c r="G215" t="s">
        <v>587</v>
      </c>
    </row>
    <row r="216" spans="2:7" x14ac:dyDescent="0.3">
      <c r="B216" s="1" t="s">
        <v>289</v>
      </c>
      <c r="G216" t="s">
        <v>588</v>
      </c>
    </row>
    <row r="217" spans="2:7" x14ac:dyDescent="0.3">
      <c r="B217" s="1" t="s">
        <v>251</v>
      </c>
      <c r="G217" t="s">
        <v>589</v>
      </c>
    </row>
    <row r="218" spans="2:7" x14ac:dyDescent="0.3">
      <c r="B218" s="1" t="s">
        <v>266</v>
      </c>
      <c r="G218" t="s">
        <v>452</v>
      </c>
    </row>
    <row r="219" spans="2:7" x14ac:dyDescent="0.3">
      <c r="B219" s="1" t="s">
        <v>252</v>
      </c>
      <c r="G219" t="s">
        <v>590</v>
      </c>
    </row>
    <row r="220" spans="2:7" x14ac:dyDescent="0.3">
      <c r="B220" s="1" t="s">
        <v>514</v>
      </c>
      <c r="G220" t="s">
        <v>437</v>
      </c>
    </row>
    <row r="221" spans="2:7" x14ac:dyDescent="0.3">
      <c r="B221" s="1" t="s">
        <v>515</v>
      </c>
      <c r="G221" t="s">
        <v>454</v>
      </c>
    </row>
    <row r="222" spans="2:7" x14ac:dyDescent="0.3">
      <c r="B222" s="1" t="s">
        <v>155</v>
      </c>
      <c r="G222" t="s">
        <v>565</v>
      </c>
    </row>
    <row r="223" spans="2:7" x14ac:dyDescent="0.3">
      <c r="B223" t="s">
        <v>97</v>
      </c>
      <c r="G223" t="s">
        <v>433</v>
      </c>
    </row>
    <row r="224" spans="2:7" x14ac:dyDescent="0.3">
      <c r="B224" t="s">
        <v>97</v>
      </c>
      <c r="G224" t="s">
        <v>433</v>
      </c>
    </row>
    <row r="225" spans="2:7" x14ac:dyDescent="0.3">
      <c r="B225" t="s">
        <v>253</v>
      </c>
      <c r="G225" t="s">
        <v>489</v>
      </c>
    </row>
    <row r="226" spans="2:7" x14ac:dyDescent="0.3">
      <c r="B226" t="s">
        <v>254</v>
      </c>
      <c r="G226" t="s">
        <v>591</v>
      </c>
    </row>
    <row r="227" spans="2:7" x14ac:dyDescent="0.3">
      <c r="B227" t="s">
        <v>173</v>
      </c>
      <c r="G227" t="s">
        <v>441</v>
      </c>
    </row>
    <row r="228" spans="2:7" x14ac:dyDescent="0.3">
      <c r="B228" t="s">
        <v>255</v>
      </c>
      <c r="G228" t="s">
        <v>592</v>
      </c>
    </row>
    <row r="229" spans="2:7" x14ac:dyDescent="0.3">
      <c r="B229" t="s">
        <v>234</v>
      </c>
      <c r="G229" t="s">
        <v>488</v>
      </c>
    </row>
    <row r="230" spans="2:7" x14ac:dyDescent="0.3">
      <c r="B230" t="s">
        <v>166</v>
      </c>
      <c r="G230" t="s">
        <v>488</v>
      </c>
    </row>
    <row r="231" spans="2:7" x14ac:dyDescent="0.3">
      <c r="B231" t="s">
        <v>201</v>
      </c>
      <c r="G231" t="s">
        <v>441</v>
      </c>
    </row>
    <row r="232" spans="2:7" x14ac:dyDescent="0.3">
      <c r="B232" t="s">
        <v>348</v>
      </c>
      <c r="G232" t="s">
        <v>491</v>
      </c>
    </row>
    <row r="233" spans="2:7" x14ac:dyDescent="0.3">
      <c r="B233" t="s">
        <v>103</v>
      </c>
      <c r="G233" t="s">
        <v>435</v>
      </c>
    </row>
    <row r="234" spans="2:7" x14ac:dyDescent="0.3">
      <c r="B234" t="s">
        <v>194</v>
      </c>
      <c r="G234" t="s">
        <v>437</v>
      </c>
    </row>
    <row r="235" spans="2:7" x14ac:dyDescent="0.3">
      <c r="B235" t="s">
        <v>238</v>
      </c>
      <c r="G235" t="s">
        <v>425</v>
      </c>
    </row>
    <row r="236" spans="2:7" x14ac:dyDescent="0.3">
      <c r="B236" t="s">
        <v>243</v>
      </c>
      <c r="G236" t="s">
        <v>456</v>
      </c>
    </row>
    <row r="237" spans="2:7" x14ac:dyDescent="0.3">
      <c r="B237" t="s">
        <v>192</v>
      </c>
      <c r="G237" t="s">
        <v>434</v>
      </c>
    </row>
    <row r="238" spans="2:7" x14ac:dyDescent="0.3">
      <c r="B238" t="s">
        <v>159</v>
      </c>
      <c r="G238" t="s">
        <v>441</v>
      </c>
    </row>
    <row r="239" spans="2:7" x14ac:dyDescent="0.3">
      <c r="B239" t="s">
        <v>256</v>
      </c>
      <c r="G239" t="s">
        <v>593</v>
      </c>
    </row>
    <row r="240" spans="2:7" x14ac:dyDescent="0.3">
      <c r="B240" t="s">
        <v>257</v>
      </c>
    </row>
    <row r="241" spans="2:7" x14ac:dyDescent="0.3">
      <c r="B241" t="s">
        <v>194</v>
      </c>
      <c r="G241" t="s">
        <v>437</v>
      </c>
    </row>
    <row r="242" spans="2:7" x14ac:dyDescent="0.3">
      <c r="B242" t="s">
        <v>258</v>
      </c>
      <c r="G242" t="s">
        <v>445</v>
      </c>
    </row>
    <row r="243" spans="2:7" x14ac:dyDescent="0.3">
      <c r="B243" t="s">
        <v>245</v>
      </c>
      <c r="G243" t="s">
        <v>485</v>
      </c>
    </row>
    <row r="244" spans="2:7" x14ac:dyDescent="0.3">
      <c r="B244" t="s">
        <v>520</v>
      </c>
      <c r="G244" t="s">
        <v>453</v>
      </c>
    </row>
    <row r="245" spans="2:7" x14ac:dyDescent="0.3">
      <c r="B245" t="s">
        <v>259</v>
      </c>
      <c r="G245" t="s">
        <v>414</v>
      </c>
    </row>
    <row r="246" spans="2:7" x14ac:dyDescent="0.3">
      <c r="B246" t="s">
        <v>179</v>
      </c>
      <c r="G246" t="s">
        <v>428</v>
      </c>
    </row>
    <row r="247" spans="2:7" x14ac:dyDescent="0.3">
      <c r="B247" t="s">
        <v>260</v>
      </c>
      <c r="G247" t="s">
        <v>443</v>
      </c>
    </row>
    <row r="248" spans="2:7" x14ac:dyDescent="0.3">
      <c r="B248" t="s">
        <v>516</v>
      </c>
      <c r="G248" t="s">
        <v>443</v>
      </c>
    </row>
    <row r="249" spans="2:7" x14ac:dyDescent="0.3">
      <c r="B249" t="s">
        <v>261</v>
      </c>
      <c r="G249" t="s">
        <v>436</v>
      </c>
    </row>
    <row r="250" spans="2:7" x14ac:dyDescent="0.3">
      <c r="B250" t="s">
        <v>244</v>
      </c>
      <c r="G250" t="s">
        <v>422</v>
      </c>
    </row>
    <row r="251" spans="2:7" x14ac:dyDescent="0.3">
      <c r="B251" s="1" t="s">
        <v>517</v>
      </c>
      <c r="G251" t="s">
        <v>441</v>
      </c>
    </row>
    <row r="252" spans="2:7" x14ac:dyDescent="0.3">
      <c r="B252" t="s">
        <v>217</v>
      </c>
      <c r="G252" t="s">
        <v>464</v>
      </c>
    </row>
    <row r="253" spans="2:7" x14ac:dyDescent="0.3">
      <c r="B253" t="s">
        <v>285</v>
      </c>
      <c r="G253" t="s">
        <v>456</v>
      </c>
    </row>
    <row r="254" spans="2:7" x14ac:dyDescent="0.3">
      <c r="B254" t="s">
        <v>262</v>
      </c>
      <c r="G254" t="s">
        <v>445</v>
      </c>
    </row>
    <row r="255" spans="2:7" x14ac:dyDescent="0.3">
      <c r="B255" t="s">
        <v>257</v>
      </c>
    </row>
    <row r="256" spans="2:7" x14ac:dyDescent="0.3">
      <c r="B256" t="s">
        <v>263</v>
      </c>
      <c r="G256" t="s">
        <v>428</v>
      </c>
    </row>
    <row r="257" spans="2:7" x14ac:dyDescent="0.3">
      <c r="B257" t="s">
        <v>173</v>
      </c>
      <c r="G257" t="s">
        <v>441</v>
      </c>
    </row>
    <row r="258" spans="2:7" x14ac:dyDescent="0.3">
      <c r="B258" t="s">
        <v>159</v>
      </c>
      <c r="G258" t="s">
        <v>441</v>
      </c>
    </row>
    <row r="259" spans="2:7" x14ac:dyDescent="0.3">
      <c r="B259" t="s">
        <v>264</v>
      </c>
      <c r="G259" t="s">
        <v>594</v>
      </c>
    </row>
    <row r="260" spans="2:7" x14ac:dyDescent="0.3">
      <c r="B260" t="s">
        <v>265</v>
      </c>
      <c r="G260" t="s">
        <v>460</v>
      </c>
    </row>
    <row r="261" spans="2:7" x14ac:dyDescent="0.3">
      <c r="B261" t="s">
        <v>258</v>
      </c>
      <c r="G261" t="s">
        <v>445</v>
      </c>
    </row>
    <row r="262" spans="2:7" x14ac:dyDescent="0.3">
      <c r="B262" t="s">
        <v>177</v>
      </c>
      <c r="G262" t="s">
        <v>572</v>
      </c>
    </row>
    <row r="263" spans="2:7" x14ac:dyDescent="0.3">
      <c r="B263" s="1" t="s">
        <v>266</v>
      </c>
      <c r="G263" t="s">
        <v>452</v>
      </c>
    </row>
    <row r="264" spans="2:7" x14ac:dyDescent="0.3">
      <c r="B264" t="s">
        <v>267</v>
      </c>
      <c r="G264" t="s">
        <v>431</v>
      </c>
    </row>
    <row r="265" spans="2:7" x14ac:dyDescent="0.3">
      <c r="B265" t="s">
        <v>268</v>
      </c>
      <c r="G265" t="s">
        <v>428</v>
      </c>
    </row>
    <row r="266" spans="2:7" x14ac:dyDescent="0.3">
      <c r="B266" t="s">
        <v>103</v>
      </c>
      <c r="G266" t="s">
        <v>435</v>
      </c>
    </row>
    <row r="267" spans="2:7" x14ac:dyDescent="0.3">
      <c r="B267" t="s">
        <v>217</v>
      </c>
      <c r="G267" t="s">
        <v>464</v>
      </c>
    </row>
    <row r="268" spans="2:7" x14ac:dyDescent="0.3">
      <c r="B268" t="s">
        <v>238</v>
      </c>
      <c r="G268" t="s">
        <v>425</v>
      </c>
    </row>
    <row r="269" spans="2:7" x14ac:dyDescent="0.3">
      <c r="B269" t="s">
        <v>269</v>
      </c>
      <c r="G269" t="s">
        <v>437</v>
      </c>
    </row>
    <row r="270" spans="2:7" x14ac:dyDescent="0.3">
      <c r="B270" t="s">
        <v>194</v>
      </c>
      <c r="G270" t="s">
        <v>437</v>
      </c>
    </row>
    <row r="271" spans="2:7" x14ac:dyDescent="0.3">
      <c r="B271" t="s">
        <v>217</v>
      </c>
      <c r="G271" t="s">
        <v>464</v>
      </c>
    </row>
    <row r="272" spans="2:7" x14ac:dyDescent="0.3">
      <c r="B272" t="s">
        <v>257</v>
      </c>
    </row>
    <row r="273" spans="2:7" x14ac:dyDescent="0.3">
      <c r="B273" t="s">
        <v>184</v>
      </c>
      <c r="G273" t="s">
        <v>428</v>
      </c>
    </row>
    <row r="274" spans="2:7" x14ac:dyDescent="0.3">
      <c r="B274" t="s">
        <v>503</v>
      </c>
      <c r="G274" t="s">
        <v>490</v>
      </c>
    </row>
    <row r="275" spans="2:7" x14ac:dyDescent="0.3">
      <c r="B275" t="s">
        <v>270</v>
      </c>
      <c r="G275" t="s">
        <v>480</v>
      </c>
    </row>
    <row r="276" spans="2:7" x14ac:dyDescent="0.3">
      <c r="B276" t="s">
        <v>271</v>
      </c>
      <c r="G276" t="s">
        <v>484</v>
      </c>
    </row>
    <row r="277" spans="2:7" x14ac:dyDescent="0.3">
      <c r="B277" t="s">
        <v>157</v>
      </c>
      <c r="G277" t="s">
        <v>441</v>
      </c>
    </row>
    <row r="278" spans="2:7" x14ac:dyDescent="0.3">
      <c r="B278" t="s">
        <v>141</v>
      </c>
      <c r="G278" t="s">
        <v>451</v>
      </c>
    </row>
    <row r="279" spans="2:7" x14ac:dyDescent="0.3">
      <c r="B279" t="s">
        <v>272</v>
      </c>
      <c r="G279" t="s">
        <v>478</v>
      </c>
    </row>
    <row r="280" spans="2:7" x14ac:dyDescent="0.3">
      <c r="B280" t="s">
        <v>518</v>
      </c>
      <c r="G280" t="s">
        <v>466</v>
      </c>
    </row>
    <row r="281" spans="2:7" x14ac:dyDescent="0.3">
      <c r="B281" t="s">
        <v>114</v>
      </c>
      <c r="G281" t="s">
        <v>492</v>
      </c>
    </row>
    <row r="282" spans="2:7" x14ac:dyDescent="0.3">
      <c r="B282" t="s">
        <v>246</v>
      </c>
      <c r="G282" t="s">
        <v>426</v>
      </c>
    </row>
    <row r="283" spans="2:7" x14ac:dyDescent="0.3">
      <c r="B283" t="s">
        <v>240</v>
      </c>
      <c r="G283" t="s">
        <v>443</v>
      </c>
    </row>
    <row r="284" spans="2:7" x14ac:dyDescent="0.3">
      <c r="B284" t="s">
        <v>225</v>
      </c>
      <c r="G284" t="s">
        <v>473</v>
      </c>
    </row>
    <row r="285" spans="2:7" x14ac:dyDescent="0.3">
      <c r="B285" t="s">
        <v>209</v>
      </c>
      <c r="G285" t="s">
        <v>576</v>
      </c>
    </row>
    <row r="286" spans="2:7" x14ac:dyDescent="0.3">
      <c r="B286" t="s">
        <v>112</v>
      </c>
      <c r="G286" t="s">
        <v>428</v>
      </c>
    </row>
    <row r="287" spans="2:7" x14ac:dyDescent="0.3">
      <c r="B287" t="s">
        <v>112</v>
      </c>
      <c r="G287" t="s">
        <v>428</v>
      </c>
    </row>
    <row r="288" spans="2:7" x14ac:dyDescent="0.3">
      <c r="B288" s="1" t="s">
        <v>519</v>
      </c>
      <c r="G288" t="s">
        <v>491</v>
      </c>
    </row>
    <row r="289" spans="2:7" x14ac:dyDescent="0.3">
      <c r="B289" s="1" t="s">
        <v>273</v>
      </c>
      <c r="G289" t="s">
        <v>595</v>
      </c>
    </row>
    <row r="290" spans="2:7" x14ac:dyDescent="0.3">
      <c r="B290" s="1" t="s">
        <v>506</v>
      </c>
      <c r="G290" t="s">
        <v>567</v>
      </c>
    </row>
    <row r="291" spans="2:7" x14ac:dyDescent="0.3">
      <c r="B291" t="s">
        <v>274</v>
      </c>
      <c r="G291" t="s">
        <v>596</v>
      </c>
    </row>
    <row r="292" spans="2:7" x14ac:dyDescent="0.3">
      <c r="B292" t="s">
        <v>108</v>
      </c>
      <c r="G292" t="s">
        <v>441</v>
      </c>
    </row>
    <row r="293" spans="2:7" x14ac:dyDescent="0.3">
      <c r="B293" t="s">
        <v>275</v>
      </c>
      <c r="G293" t="s">
        <v>478</v>
      </c>
    </row>
    <row r="294" spans="2:7" x14ac:dyDescent="0.3">
      <c r="B294" t="s">
        <v>118</v>
      </c>
      <c r="G294" t="s">
        <v>428</v>
      </c>
    </row>
    <row r="295" spans="2:7" x14ac:dyDescent="0.3">
      <c r="B295" t="s">
        <v>238</v>
      </c>
      <c r="G295" t="s">
        <v>425</v>
      </c>
    </row>
    <row r="296" spans="2:7" x14ac:dyDescent="0.3">
      <c r="B296" t="s">
        <v>231</v>
      </c>
      <c r="G296" t="s">
        <v>481</v>
      </c>
    </row>
    <row r="297" spans="2:7" x14ac:dyDescent="0.3">
      <c r="B297" t="s">
        <v>619</v>
      </c>
      <c r="G297" t="s">
        <v>466</v>
      </c>
    </row>
    <row r="298" spans="2:7" x14ac:dyDescent="0.3">
      <c r="B298" t="s">
        <v>276</v>
      </c>
      <c r="G298" t="s">
        <v>441</v>
      </c>
    </row>
    <row r="299" spans="2:7" x14ac:dyDescent="0.3">
      <c r="B299" t="s">
        <v>277</v>
      </c>
      <c r="G299" t="s">
        <v>453</v>
      </c>
    </row>
    <row r="300" spans="2:7" x14ac:dyDescent="0.3">
      <c r="B300" t="s">
        <v>133</v>
      </c>
      <c r="G300" t="s">
        <v>428</v>
      </c>
    </row>
    <row r="301" spans="2:7" x14ac:dyDescent="0.3">
      <c r="B301" t="s">
        <v>278</v>
      </c>
      <c r="G301" t="s">
        <v>428</v>
      </c>
    </row>
    <row r="302" spans="2:7" x14ac:dyDescent="0.3">
      <c r="B302" t="s">
        <v>520</v>
      </c>
      <c r="G302" t="s">
        <v>453</v>
      </c>
    </row>
    <row r="303" spans="2:7" x14ac:dyDescent="0.3">
      <c r="B303" t="s">
        <v>135</v>
      </c>
      <c r="G303" t="s">
        <v>453</v>
      </c>
    </row>
    <row r="304" spans="2:7" x14ac:dyDescent="0.3">
      <c r="B304" t="s">
        <v>279</v>
      </c>
      <c r="G304" t="s">
        <v>454</v>
      </c>
    </row>
    <row r="305" spans="2:7" x14ac:dyDescent="0.3">
      <c r="B305" t="s">
        <v>280</v>
      </c>
      <c r="G305" t="s">
        <v>427</v>
      </c>
    </row>
    <row r="306" spans="2:7" x14ac:dyDescent="0.3">
      <c r="B306" t="s">
        <v>281</v>
      </c>
      <c r="G306" t="s">
        <v>453</v>
      </c>
    </row>
    <row r="307" spans="2:7" x14ac:dyDescent="0.3">
      <c r="B307" t="s">
        <v>282</v>
      </c>
      <c r="G307" t="s">
        <v>423</v>
      </c>
    </row>
    <row r="308" spans="2:7" x14ac:dyDescent="0.3">
      <c r="B308" t="s">
        <v>283</v>
      </c>
      <c r="G308" t="s">
        <v>597</v>
      </c>
    </row>
    <row r="309" spans="2:7" x14ac:dyDescent="0.3">
      <c r="B309" t="s">
        <v>277</v>
      </c>
      <c r="G309" t="s">
        <v>453</v>
      </c>
    </row>
    <row r="310" spans="2:7" x14ac:dyDescent="0.3">
      <c r="B310" t="s">
        <v>520</v>
      </c>
      <c r="G310" t="s">
        <v>453</v>
      </c>
    </row>
    <row r="311" spans="2:7" x14ac:dyDescent="0.3">
      <c r="B311" t="s">
        <v>284</v>
      </c>
      <c r="G311" t="s">
        <v>594</v>
      </c>
    </row>
    <row r="312" spans="2:7" x14ac:dyDescent="0.3">
      <c r="B312" t="s">
        <v>285</v>
      </c>
      <c r="G312" t="s">
        <v>456</v>
      </c>
    </row>
    <row r="313" spans="2:7" x14ac:dyDescent="0.3">
      <c r="B313" t="s">
        <v>277</v>
      </c>
      <c r="G313" t="s">
        <v>453</v>
      </c>
    </row>
    <row r="314" spans="2:7" x14ac:dyDescent="0.3">
      <c r="B314" t="s">
        <v>107</v>
      </c>
      <c r="G314" t="s">
        <v>428</v>
      </c>
    </row>
    <row r="315" spans="2:7" x14ac:dyDescent="0.3">
      <c r="B315" t="s">
        <v>280</v>
      </c>
      <c r="G315" t="s">
        <v>427</v>
      </c>
    </row>
    <row r="316" spans="2:7" x14ac:dyDescent="0.3">
      <c r="B316" t="s">
        <v>262</v>
      </c>
      <c r="G316" t="s">
        <v>445</v>
      </c>
    </row>
    <row r="317" spans="2:7" x14ac:dyDescent="0.3">
      <c r="B317" t="s">
        <v>286</v>
      </c>
      <c r="G317" t="s">
        <v>598</v>
      </c>
    </row>
    <row r="318" spans="2:7" x14ac:dyDescent="0.3">
      <c r="B318" t="s">
        <v>182</v>
      </c>
      <c r="G318" t="s">
        <v>428</v>
      </c>
    </row>
    <row r="319" spans="2:7" x14ac:dyDescent="0.3">
      <c r="B319" t="s">
        <v>287</v>
      </c>
      <c r="G319" t="s">
        <v>598</v>
      </c>
    </row>
    <row r="320" spans="2:7" x14ac:dyDescent="0.3">
      <c r="B320" t="s">
        <v>287</v>
      </c>
      <c r="G320" t="s">
        <v>598</v>
      </c>
    </row>
    <row r="321" spans="2:7" x14ac:dyDescent="0.3">
      <c r="B321" t="s">
        <v>288</v>
      </c>
      <c r="G321" t="s">
        <v>447</v>
      </c>
    </row>
    <row r="322" spans="2:7" x14ac:dyDescent="0.3">
      <c r="B322" t="s">
        <v>242</v>
      </c>
      <c r="G322" t="s">
        <v>428</v>
      </c>
    </row>
    <row r="323" spans="2:7" x14ac:dyDescent="0.3">
      <c r="B323" s="1" t="s">
        <v>289</v>
      </c>
      <c r="G323" t="s">
        <v>588</v>
      </c>
    </row>
    <row r="324" spans="2:7" x14ac:dyDescent="0.3">
      <c r="B324" t="s">
        <v>290</v>
      </c>
      <c r="G324" t="s">
        <v>587</v>
      </c>
    </row>
    <row r="325" spans="2:7" x14ac:dyDescent="0.3">
      <c r="B325" t="s">
        <v>291</v>
      </c>
    </row>
    <row r="326" spans="2:7" x14ac:dyDescent="0.3">
      <c r="B326" t="s">
        <v>287</v>
      </c>
      <c r="G326" t="s">
        <v>598</v>
      </c>
    </row>
    <row r="327" spans="2:7" x14ac:dyDescent="0.3">
      <c r="B327" t="s">
        <v>292</v>
      </c>
      <c r="G327" t="s">
        <v>467</v>
      </c>
    </row>
    <row r="328" spans="2:7" x14ac:dyDescent="0.3">
      <c r="B328" s="1" t="s">
        <v>521</v>
      </c>
      <c r="G328" t="s">
        <v>438</v>
      </c>
    </row>
    <row r="329" spans="2:7" x14ac:dyDescent="0.3">
      <c r="B329" t="s">
        <v>292</v>
      </c>
      <c r="G329" t="s">
        <v>467</v>
      </c>
    </row>
    <row r="330" spans="2:7" x14ac:dyDescent="0.3">
      <c r="B330" t="s">
        <v>192</v>
      </c>
      <c r="G330" t="s">
        <v>434</v>
      </c>
    </row>
    <row r="331" spans="2:7" x14ac:dyDescent="0.3">
      <c r="B331" t="s">
        <v>293</v>
      </c>
      <c r="G331" t="s">
        <v>446</v>
      </c>
    </row>
    <row r="332" spans="2:7" x14ac:dyDescent="0.3">
      <c r="B332" t="s">
        <v>294</v>
      </c>
      <c r="G332" t="s">
        <v>479</v>
      </c>
    </row>
    <row r="333" spans="2:7" x14ac:dyDescent="0.3">
      <c r="B333" t="s">
        <v>223</v>
      </c>
    </row>
    <row r="334" spans="2:7" x14ac:dyDescent="0.3">
      <c r="B334" t="s">
        <v>162</v>
      </c>
      <c r="G334" t="s">
        <v>434</v>
      </c>
    </row>
    <row r="335" spans="2:7" x14ac:dyDescent="0.3">
      <c r="B335" t="s">
        <v>190</v>
      </c>
      <c r="G335" t="s">
        <v>434</v>
      </c>
    </row>
    <row r="336" spans="2:7" x14ac:dyDescent="0.3">
      <c r="B336" t="s">
        <v>295</v>
      </c>
      <c r="G336" t="s">
        <v>456</v>
      </c>
    </row>
    <row r="337" spans="2:7" x14ac:dyDescent="0.3">
      <c r="B337" t="s">
        <v>296</v>
      </c>
      <c r="G337" t="s">
        <v>435</v>
      </c>
    </row>
    <row r="338" spans="2:7" x14ac:dyDescent="0.3">
      <c r="B338" s="1" t="s">
        <v>297</v>
      </c>
      <c r="G338" t="s">
        <v>426</v>
      </c>
    </row>
    <row r="339" spans="2:7" x14ac:dyDescent="0.3">
      <c r="B339" t="s">
        <v>298</v>
      </c>
      <c r="G339" t="s">
        <v>599</v>
      </c>
    </row>
    <row r="340" spans="2:7" x14ac:dyDescent="0.3">
      <c r="B340" t="s">
        <v>500</v>
      </c>
      <c r="G340" t="s">
        <v>434</v>
      </c>
    </row>
    <row r="341" spans="2:7" x14ac:dyDescent="0.3">
      <c r="B341" t="s">
        <v>299</v>
      </c>
      <c r="G341" t="s">
        <v>439</v>
      </c>
    </row>
    <row r="342" spans="2:7" x14ac:dyDescent="0.3">
      <c r="B342" t="s">
        <v>300</v>
      </c>
      <c r="G342" t="s">
        <v>436</v>
      </c>
    </row>
    <row r="343" spans="2:7" x14ac:dyDescent="0.3">
      <c r="B343" t="s">
        <v>509</v>
      </c>
      <c r="G343" t="s">
        <v>452</v>
      </c>
    </row>
    <row r="344" spans="2:7" x14ac:dyDescent="0.3">
      <c r="B344" t="s">
        <v>284</v>
      </c>
      <c r="G344" t="s">
        <v>594</v>
      </c>
    </row>
    <row r="345" spans="2:7" x14ac:dyDescent="0.3">
      <c r="B345" t="s">
        <v>301</v>
      </c>
    </row>
    <row r="346" spans="2:7" x14ac:dyDescent="0.3">
      <c r="B346" t="s">
        <v>151</v>
      </c>
      <c r="G346" t="s">
        <v>428</v>
      </c>
    </row>
    <row r="347" spans="2:7" x14ac:dyDescent="0.3">
      <c r="B347" t="s">
        <v>112</v>
      </c>
      <c r="G347" t="s">
        <v>428</v>
      </c>
    </row>
    <row r="348" spans="2:7" x14ac:dyDescent="0.3">
      <c r="B348" t="s">
        <v>205</v>
      </c>
      <c r="G348" t="s">
        <v>443</v>
      </c>
    </row>
    <row r="349" spans="2:7" x14ac:dyDescent="0.3">
      <c r="B349" t="s">
        <v>102</v>
      </c>
      <c r="G349" t="s">
        <v>419</v>
      </c>
    </row>
    <row r="350" spans="2:7" x14ac:dyDescent="0.3">
      <c r="B350" t="s">
        <v>106</v>
      </c>
      <c r="G350" t="s">
        <v>414</v>
      </c>
    </row>
    <row r="351" spans="2:7" x14ac:dyDescent="0.3">
      <c r="B351" s="1" t="s">
        <v>302</v>
      </c>
      <c r="G351" t="s">
        <v>600</v>
      </c>
    </row>
    <row r="352" spans="2:7" x14ac:dyDescent="0.3">
      <c r="B352" t="s">
        <v>95</v>
      </c>
      <c r="G352" t="s">
        <v>414</v>
      </c>
    </row>
    <row r="353" spans="2:7" x14ac:dyDescent="0.3">
      <c r="B353" t="s">
        <v>120</v>
      </c>
      <c r="G353" t="s">
        <v>449</v>
      </c>
    </row>
    <row r="354" spans="2:7" x14ac:dyDescent="0.3">
      <c r="B354" t="s">
        <v>293</v>
      </c>
      <c r="G354" t="s">
        <v>446</v>
      </c>
    </row>
    <row r="355" spans="2:7" x14ac:dyDescent="0.3">
      <c r="B355" t="s">
        <v>146</v>
      </c>
      <c r="G355" t="s">
        <v>564</v>
      </c>
    </row>
    <row r="356" spans="2:7" x14ac:dyDescent="0.3">
      <c r="B356" t="s">
        <v>100</v>
      </c>
      <c r="G356" t="s">
        <v>414</v>
      </c>
    </row>
    <row r="357" spans="2:7" x14ac:dyDescent="0.3">
      <c r="B357" t="s">
        <v>103</v>
      </c>
      <c r="G357" t="s">
        <v>435</v>
      </c>
    </row>
    <row r="358" spans="2:7" x14ac:dyDescent="0.3">
      <c r="B358" t="s">
        <v>98</v>
      </c>
      <c r="G358" t="s">
        <v>428</v>
      </c>
    </row>
    <row r="359" spans="2:7" x14ac:dyDescent="0.3">
      <c r="B359" t="s">
        <v>117</v>
      </c>
      <c r="G359" t="s">
        <v>428</v>
      </c>
    </row>
    <row r="360" spans="2:7" x14ac:dyDescent="0.3">
      <c r="B360" t="s">
        <v>242</v>
      </c>
      <c r="G360" t="s">
        <v>428</v>
      </c>
    </row>
    <row r="361" spans="2:7" x14ac:dyDescent="0.3">
      <c r="B361" t="s">
        <v>151</v>
      </c>
      <c r="G361" t="s">
        <v>428</v>
      </c>
    </row>
    <row r="362" spans="2:7" x14ac:dyDescent="0.3">
      <c r="B362" t="s">
        <v>107</v>
      </c>
      <c r="G362" t="s">
        <v>428</v>
      </c>
    </row>
    <row r="363" spans="2:7" x14ac:dyDescent="0.3">
      <c r="B363" t="s">
        <v>129</v>
      </c>
      <c r="G363" t="s">
        <v>428</v>
      </c>
    </row>
    <row r="364" spans="2:7" x14ac:dyDescent="0.3">
      <c r="B364" t="s">
        <v>122</v>
      </c>
      <c r="G364" t="s">
        <v>432</v>
      </c>
    </row>
    <row r="365" spans="2:7" x14ac:dyDescent="0.3">
      <c r="B365" t="s">
        <v>296</v>
      </c>
      <c r="G365" t="s">
        <v>435</v>
      </c>
    </row>
    <row r="366" spans="2:7" x14ac:dyDescent="0.3">
      <c r="B366" t="s">
        <v>303</v>
      </c>
      <c r="G366" t="s">
        <v>430</v>
      </c>
    </row>
    <row r="367" spans="2:7" x14ac:dyDescent="0.3">
      <c r="B367" t="s">
        <v>133</v>
      </c>
      <c r="G367" t="s">
        <v>428</v>
      </c>
    </row>
    <row r="368" spans="2:7" x14ac:dyDescent="0.3">
      <c r="B368" t="s">
        <v>223</v>
      </c>
    </row>
    <row r="369" spans="2:7" x14ac:dyDescent="0.3">
      <c r="B369" t="s">
        <v>144</v>
      </c>
      <c r="G369" t="s">
        <v>568</v>
      </c>
    </row>
    <row r="370" spans="2:7" x14ac:dyDescent="0.3">
      <c r="B370" t="s">
        <v>304</v>
      </c>
      <c r="G370" t="s">
        <v>601</v>
      </c>
    </row>
    <row r="371" spans="2:7" x14ac:dyDescent="0.3">
      <c r="B371" t="s">
        <v>522</v>
      </c>
      <c r="G371" t="s">
        <v>488</v>
      </c>
    </row>
    <row r="372" spans="2:7" x14ac:dyDescent="0.3">
      <c r="B372" t="s">
        <v>305</v>
      </c>
      <c r="G372" t="s">
        <v>440</v>
      </c>
    </row>
    <row r="373" spans="2:7" x14ac:dyDescent="0.3">
      <c r="B373" t="s">
        <v>161</v>
      </c>
      <c r="G373" t="s">
        <v>570</v>
      </c>
    </row>
    <row r="374" spans="2:7" x14ac:dyDescent="0.3">
      <c r="B374" t="s">
        <v>306</v>
      </c>
      <c r="G374" t="s">
        <v>592</v>
      </c>
    </row>
    <row r="375" spans="2:7" x14ac:dyDescent="0.3">
      <c r="B375" t="s">
        <v>194</v>
      </c>
      <c r="G375" t="s">
        <v>437</v>
      </c>
    </row>
    <row r="376" spans="2:7" x14ac:dyDescent="0.3">
      <c r="B376" t="s">
        <v>307</v>
      </c>
      <c r="G376" t="s">
        <v>437</v>
      </c>
    </row>
    <row r="377" spans="2:7" x14ac:dyDescent="0.3">
      <c r="B377" t="s">
        <v>102</v>
      </c>
      <c r="G377" t="s">
        <v>419</v>
      </c>
    </row>
    <row r="378" spans="2:7" x14ac:dyDescent="0.3">
      <c r="B378" t="s">
        <v>308</v>
      </c>
      <c r="G378" t="s">
        <v>435</v>
      </c>
    </row>
    <row r="379" spans="2:7" x14ac:dyDescent="0.3">
      <c r="B379" t="s">
        <v>197</v>
      </c>
      <c r="G379" t="s">
        <v>437</v>
      </c>
    </row>
    <row r="380" spans="2:7" x14ac:dyDescent="0.3">
      <c r="B380" t="s">
        <v>146</v>
      </c>
      <c r="G380" t="s">
        <v>564</v>
      </c>
    </row>
    <row r="381" spans="2:7" x14ac:dyDescent="0.3">
      <c r="B381" t="s">
        <v>194</v>
      </c>
      <c r="G381" t="s">
        <v>437</v>
      </c>
    </row>
    <row r="382" spans="2:7" x14ac:dyDescent="0.3">
      <c r="B382" t="s">
        <v>177</v>
      </c>
      <c r="G382" t="s">
        <v>572</v>
      </c>
    </row>
    <row r="383" spans="2:7" x14ac:dyDescent="0.3">
      <c r="B383" s="1" t="s">
        <v>316</v>
      </c>
      <c r="G383" t="s">
        <v>431</v>
      </c>
    </row>
    <row r="384" spans="2:7" x14ac:dyDescent="0.3">
      <c r="B384" s="1" t="s">
        <v>309</v>
      </c>
      <c r="G384" t="s">
        <v>595</v>
      </c>
    </row>
    <row r="385" spans="2:7" x14ac:dyDescent="0.3">
      <c r="B385" t="s">
        <v>104</v>
      </c>
      <c r="G385" t="s">
        <v>424</v>
      </c>
    </row>
    <row r="386" spans="2:7" x14ac:dyDescent="0.3">
      <c r="B386" t="s">
        <v>98</v>
      </c>
      <c r="G386" t="s">
        <v>428</v>
      </c>
    </row>
    <row r="387" spans="2:7" x14ac:dyDescent="0.3">
      <c r="B387" t="s">
        <v>104</v>
      </c>
      <c r="G387" t="s">
        <v>424</v>
      </c>
    </row>
    <row r="388" spans="2:7" x14ac:dyDescent="0.3">
      <c r="B388" t="s">
        <v>261</v>
      </c>
      <c r="G388" t="s">
        <v>436</v>
      </c>
    </row>
    <row r="389" spans="2:7" x14ac:dyDescent="0.3">
      <c r="B389" t="s">
        <v>182</v>
      </c>
      <c r="G389" t="s">
        <v>428</v>
      </c>
    </row>
    <row r="390" spans="2:7" x14ac:dyDescent="0.3">
      <c r="B390" t="s">
        <v>205</v>
      </c>
      <c r="G390" t="s">
        <v>443</v>
      </c>
    </row>
    <row r="391" spans="2:7" x14ac:dyDescent="0.3">
      <c r="B391" t="s">
        <v>134</v>
      </c>
      <c r="G391" t="s">
        <v>452</v>
      </c>
    </row>
    <row r="392" spans="2:7" x14ac:dyDescent="0.3">
      <c r="B392" t="s">
        <v>102</v>
      </c>
      <c r="G392" t="s">
        <v>419</v>
      </c>
    </row>
    <row r="393" spans="2:7" x14ac:dyDescent="0.3">
      <c r="B393" t="s">
        <v>100</v>
      </c>
      <c r="G393" t="s">
        <v>414</v>
      </c>
    </row>
    <row r="394" spans="2:7" x14ac:dyDescent="0.3">
      <c r="B394" t="s">
        <v>118</v>
      </c>
      <c r="G394" t="s">
        <v>428</v>
      </c>
    </row>
    <row r="395" spans="2:7" x14ac:dyDescent="0.3">
      <c r="B395" t="s">
        <v>113</v>
      </c>
      <c r="G395" t="s">
        <v>414</v>
      </c>
    </row>
    <row r="396" spans="2:7" x14ac:dyDescent="0.3">
      <c r="B396" t="s">
        <v>179</v>
      </c>
      <c r="G396" t="s">
        <v>428</v>
      </c>
    </row>
    <row r="397" spans="2:7" x14ac:dyDescent="0.3">
      <c r="B397" t="s">
        <v>133</v>
      </c>
      <c r="G397" t="s">
        <v>428</v>
      </c>
    </row>
    <row r="398" spans="2:7" x14ac:dyDescent="0.3">
      <c r="B398" t="s">
        <v>116</v>
      </c>
      <c r="G398" t="s">
        <v>451</v>
      </c>
    </row>
    <row r="399" spans="2:7" x14ac:dyDescent="0.3">
      <c r="B399" s="1" t="s">
        <v>252</v>
      </c>
      <c r="G399" t="s">
        <v>590</v>
      </c>
    </row>
    <row r="400" spans="2:7" x14ac:dyDescent="0.3">
      <c r="B400" t="s">
        <v>132</v>
      </c>
      <c r="G400" t="s">
        <v>428</v>
      </c>
    </row>
    <row r="401" spans="2:7" x14ac:dyDescent="0.3">
      <c r="B401" t="s">
        <v>122</v>
      </c>
      <c r="G401" t="s">
        <v>432</v>
      </c>
    </row>
    <row r="402" spans="2:7" x14ac:dyDescent="0.3">
      <c r="B402" t="s">
        <v>235</v>
      </c>
      <c r="G402" t="s">
        <v>414</v>
      </c>
    </row>
    <row r="403" spans="2:7" x14ac:dyDescent="0.3">
      <c r="B403" t="s">
        <v>106</v>
      </c>
      <c r="G403" t="s">
        <v>414</v>
      </c>
    </row>
    <row r="404" spans="2:7" x14ac:dyDescent="0.3">
      <c r="B404" t="s">
        <v>195</v>
      </c>
      <c r="G404" t="s">
        <v>437</v>
      </c>
    </row>
    <row r="405" spans="2:7" x14ac:dyDescent="0.3">
      <c r="B405" t="s">
        <v>217</v>
      </c>
      <c r="G405" t="s">
        <v>464</v>
      </c>
    </row>
    <row r="406" spans="2:7" x14ac:dyDescent="0.3">
      <c r="B406" t="s">
        <v>310</v>
      </c>
      <c r="G406" t="s">
        <v>441</v>
      </c>
    </row>
    <row r="407" spans="2:7" x14ac:dyDescent="0.3">
      <c r="B407" t="s">
        <v>104</v>
      </c>
      <c r="G407" t="s">
        <v>424</v>
      </c>
    </row>
    <row r="408" spans="2:7" x14ac:dyDescent="0.3">
      <c r="B408" t="s">
        <v>311</v>
      </c>
      <c r="G408" t="s">
        <v>451</v>
      </c>
    </row>
    <row r="409" spans="2:7" x14ac:dyDescent="0.3">
      <c r="B409" t="s">
        <v>102</v>
      </c>
      <c r="G409" t="s">
        <v>419</v>
      </c>
    </row>
    <row r="410" spans="2:7" x14ac:dyDescent="0.3">
      <c r="B410" t="s">
        <v>242</v>
      </c>
      <c r="G410" t="s">
        <v>428</v>
      </c>
    </row>
    <row r="411" spans="2:7" x14ac:dyDescent="0.3">
      <c r="B411" t="s">
        <v>312</v>
      </c>
      <c r="G411" t="s">
        <v>427</v>
      </c>
    </row>
    <row r="412" spans="2:7" x14ac:dyDescent="0.3">
      <c r="B412" t="s">
        <v>260</v>
      </c>
      <c r="G412" t="s">
        <v>443</v>
      </c>
    </row>
    <row r="413" spans="2:7" x14ac:dyDescent="0.3">
      <c r="B413" t="s">
        <v>184</v>
      </c>
      <c r="G413" t="s">
        <v>428</v>
      </c>
    </row>
    <row r="414" spans="2:7" x14ac:dyDescent="0.3">
      <c r="B414" t="s">
        <v>136</v>
      </c>
      <c r="G414" t="s">
        <v>428</v>
      </c>
    </row>
    <row r="415" spans="2:7" x14ac:dyDescent="0.3">
      <c r="B415" t="s">
        <v>112</v>
      </c>
      <c r="G415" t="s">
        <v>428</v>
      </c>
    </row>
    <row r="416" spans="2:7" x14ac:dyDescent="0.3">
      <c r="B416" t="s">
        <v>313</v>
      </c>
      <c r="G416" t="s">
        <v>428</v>
      </c>
    </row>
    <row r="417" spans="2:7" x14ac:dyDescent="0.3">
      <c r="B417" t="s">
        <v>314</v>
      </c>
      <c r="G417" t="s">
        <v>474</v>
      </c>
    </row>
    <row r="418" spans="2:7" x14ac:dyDescent="0.3">
      <c r="B418" t="s">
        <v>267</v>
      </c>
      <c r="G418" t="s">
        <v>431</v>
      </c>
    </row>
    <row r="419" spans="2:7" x14ac:dyDescent="0.3">
      <c r="B419" t="s">
        <v>163</v>
      </c>
      <c r="G419" t="s">
        <v>482</v>
      </c>
    </row>
    <row r="420" spans="2:7" x14ac:dyDescent="0.3">
      <c r="B420" s="1" t="s">
        <v>119</v>
      </c>
      <c r="G420" t="s">
        <v>428</v>
      </c>
    </row>
    <row r="421" spans="2:7" x14ac:dyDescent="0.3">
      <c r="B421" t="s">
        <v>182</v>
      </c>
      <c r="G421" t="s">
        <v>428</v>
      </c>
    </row>
    <row r="422" spans="2:7" x14ac:dyDescent="0.3">
      <c r="B422" t="s">
        <v>112</v>
      </c>
      <c r="G422" t="s">
        <v>428</v>
      </c>
    </row>
    <row r="423" spans="2:7" x14ac:dyDescent="0.3">
      <c r="B423" t="s">
        <v>132</v>
      </c>
      <c r="G423" t="s">
        <v>428</v>
      </c>
    </row>
    <row r="424" spans="2:7" x14ac:dyDescent="0.3">
      <c r="B424" t="s">
        <v>112</v>
      </c>
      <c r="G424" t="s">
        <v>428</v>
      </c>
    </row>
    <row r="425" spans="2:7" x14ac:dyDescent="0.3">
      <c r="B425" s="1" t="s">
        <v>523</v>
      </c>
      <c r="G425" t="s">
        <v>438</v>
      </c>
    </row>
    <row r="426" spans="2:7" x14ac:dyDescent="0.3">
      <c r="B426" s="1" t="s">
        <v>252</v>
      </c>
      <c r="G426" t="s">
        <v>590</v>
      </c>
    </row>
    <row r="427" spans="2:7" x14ac:dyDescent="0.3">
      <c r="B427" s="1" t="s">
        <v>315</v>
      </c>
      <c r="G427" t="s">
        <v>602</v>
      </c>
    </row>
    <row r="428" spans="2:7" x14ac:dyDescent="0.3">
      <c r="B428" s="1" t="s">
        <v>316</v>
      </c>
      <c r="G428" t="s">
        <v>431</v>
      </c>
    </row>
    <row r="429" spans="2:7" x14ac:dyDescent="0.3">
      <c r="B429" t="s">
        <v>317</v>
      </c>
      <c r="G429" t="s">
        <v>603</v>
      </c>
    </row>
    <row r="430" spans="2:7" x14ac:dyDescent="0.3">
      <c r="B430" t="s">
        <v>97</v>
      </c>
      <c r="G430" t="s">
        <v>433</v>
      </c>
    </row>
    <row r="431" spans="2:7" x14ac:dyDescent="0.3">
      <c r="B431" t="s">
        <v>97</v>
      </c>
      <c r="G431" t="s">
        <v>433</v>
      </c>
    </row>
    <row r="432" spans="2:7" x14ac:dyDescent="0.3">
      <c r="B432" t="s">
        <v>112</v>
      </c>
      <c r="G432" t="s">
        <v>428</v>
      </c>
    </row>
    <row r="433" spans="2:7" x14ac:dyDescent="0.3">
      <c r="B433" t="s">
        <v>112</v>
      </c>
      <c r="G433" t="s">
        <v>428</v>
      </c>
    </row>
    <row r="434" spans="2:7" x14ac:dyDescent="0.3">
      <c r="B434" t="s">
        <v>112</v>
      </c>
      <c r="G434" t="s">
        <v>428</v>
      </c>
    </row>
    <row r="435" spans="2:7" x14ac:dyDescent="0.3">
      <c r="B435" t="s">
        <v>112</v>
      </c>
      <c r="G435" t="s">
        <v>428</v>
      </c>
    </row>
    <row r="436" spans="2:7" x14ac:dyDescent="0.3">
      <c r="B436" t="s">
        <v>112</v>
      </c>
      <c r="G436" t="s">
        <v>428</v>
      </c>
    </row>
    <row r="437" spans="2:7" x14ac:dyDescent="0.3">
      <c r="B437" t="s">
        <v>112</v>
      </c>
      <c r="G437" t="s">
        <v>428</v>
      </c>
    </row>
    <row r="438" spans="2:7" x14ac:dyDescent="0.3">
      <c r="B438" t="s">
        <v>112</v>
      </c>
      <c r="G438" t="s">
        <v>428</v>
      </c>
    </row>
    <row r="439" spans="2:7" x14ac:dyDescent="0.3">
      <c r="B439" t="s">
        <v>112</v>
      </c>
      <c r="G439" t="s">
        <v>428</v>
      </c>
    </row>
    <row r="440" spans="2:7" x14ac:dyDescent="0.3">
      <c r="B440" t="s">
        <v>112</v>
      </c>
      <c r="G440" t="s">
        <v>428</v>
      </c>
    </row>
    <row r="441" spans="2:7" x14ac:dyDescent="0.3">
      <c r="B441" t="s">
        <v>318</v>
      </c>
      <c r="G441" t="s">
        <v>604</v>
      </c>
    </row>
    <row r="442" spans="2:7" x14ac:dyDescent="0.3">
      <c r="B442" t="s">
        <v>188</v>
      </c>
      <c r="G442" t="s">
        <v>435</v>
      </c>
    </row>
    <row r="443" spans="2:7" x14ac:dyDescent="0.3">
      <c r="B443" t="s">
        <v>107</v>
      </c>
      <c r="G443" t="s">
        <v>428</v>
      </c>
    </row>
    <row r="444" spans="2:7" x14ac:dyDescent="0.3">
      <c r="B444" t="s">
        <v>129</v>
      </c>
      <c r="G444" t="s">
        <v>428</v>
      </c>
    </row>
    <row r="445" spans="2:7" x14ac:dyDescent="0.3">
      <c r="B445" t="s">
        <v>319</v>
      </c>
      <c r="G445" t="s">
        <v>428</v>
      </c>
    </row>
    <row r="446" spans="2:7" x14ac:dyDescent="0.3">
      <c r="B446" t="s">
        <v>268</v>
      </c>
      <c r="G446" t="s">
        <v>428</v>
      </c>
    </row>
    <row r="447" spans="2:7" x14ac:dyDescent="0.3">
      <c r="B447" t="s">
        <v>103</v>
      </c>
      <c r="G447" t="s">
        <v>435</v>
      </c>
    </row>
    <row r="448" spans="2:7" x14ac:dyDescent="0.3">
      <c r="B448" t="s">
        <v>133</v>
      </c>
      <c r="G448" t="s">
        <v>428</v>
      </c>
    </row>
    <row r="449" spans="2:7" x14ac:dyDescent="0.3">
      <c r="B449" t="s">
        <v>133</v>
      </c>
      <c r="G449" t="s">
        <v>428</v>
      </c>
    </row>
    <row r="450" spans="2:7" x14ac:dyDescent="0.3">
      <c r="B450" t="s">
        <v>122</v>
      </c>
      <c r="G450" t="s">
        <v>432</v>
      </c>
    </row>
    <row r="451" spans="2:7" x14ac:dyDescent="0.3">
      <c r="B451" t="s">
        <v>320</v>
      </c>
      <c r="G451" t="s">
        <v>490</v>
      </c>
    </row>
    <row r="452" spans="2:7" x14ac:dyDescent="0.3">
      <c r="B452" t="s">
        <v>320</v>
      </c>
      <c r="G452" t="s">
        <v>490</v>
      </c>
    </row>
    <row r="453" spans="2:7" x14ac:dyDescent="0.3">
      <c r="B453" t="s">
        <v>321</v>
      </c>
      <c r="G453" t="s">
        <v>431</v>
      </c>
    </row>
    <row r="454" spans="2:7" x14ac:dyDescent="0.3">
      <c r="B454" t="s">
        <v>322</v>
      </c>
      <c r="G454" t="s">
        <v>434</v>
      </c>
    </row>
    <row r="455" spans="2:7" x14ac:dyDescent="0.3">
      <c r="B455" t="s">
        <v>133</v>
      </c>
      <c r="G455" t="s">
        <v>428</v>
      </c>
    </row>
    <row r="456" spans="2:7" x14ac:dyDescent="0.3">
      <c r="B456" t="s">
        <v>122</v>
      </c>
      <c r="G456" t="s">
        <v>432</v>
      </c>
    </row>
    <row r="457" spans="2:7" x14ac:dyDescent="0.3">
      <c r="B457" t="s">
        <v>102</v>
      </c>
      <c r="G457" t="s">
        <v>419</v>
      </c>
    </row>
    <row r="458" spans="2:7" x14ac:dyDescent="0.3">
      <c r="B458" t="s">
        <v>172</v>
      </c>
      <c r="G458" t="s">
        <v>428</v>
      </c>
    </row>
    <row r="459" spans="2:7" x14ac:dyDescent="0.3">
      <c r="B459" t="s">
        <v>323</v>
      </c>
      <c r="G459" t="s">
        <v>451</v>
      </c>
    </row>
    <row r="460" spans="2:7" x14ac:dyDescent="0.3">
      <c r="B460" t="s">
        <v>117</v>
      </c>
      <c r="G460" t="s">
        <v>428</v>
      </c>
    </row>
    <row r="461" spans="2:7" x14ac:dyDescent="0.3">
      <c r="B461" t="s">
        <v>98</v>
      </c>
      <c r="G461" t="s">
        <v>428</v>
      </c>
    </row>
    <row r="462" spans="2:7" x14ac:dyDescent="0.3">
      <c r="B462" t="s">
        <v>524</v>
      </c>
      <c r="G462" t="s">
        <v>605</v>
      </c>
    </row>
    <row r="463" spans="2:7" x14ac:dyDescent="0.3">
      <c r="B463" t="s">
        <v>238</v>
      </c>
      <c r="G463" t="s">
        <v>425</v>
      </c>
    </row>
    <row r="464" spans="2:7" x14ac:dyDescent="0.3">
      <c r="B464" t="s">
        <v>528</v>
      </c>
      <c r="G464" t="s">
        <v>457</v>
      </c>
    </row>
    <row r="465" spans="2:7" x14ac:dyDescent="0.3">
      <c r="B465" t="s">
        <v>123</v>
      </c>
      <c r="G465" t="s">
        <v>489</v>
      </c>
    </row>
    <row r="466" spans="2:7" x14ac:dyDescent="0.3">
      <c r="B466" t="s">
        <v>279</v>
      </c>
      <c r="G466" t="s">
        <v>454</v>
      </c>
    </row>
    <row r="467" spans="2:7" x14ac:dyDescent="0.3">
      <c r="B467" t="s">
        <v>314</v>
      </c>
      <c r="G467" t="s">
        <v>474</v>
      </c>
    </row>
    <row r="468" spans="2:7" x14ac:dyDescent="0.3">
      <c r="B468" t="s">
        <v>324</v>
      </c>
      <c r="G468" t="s">
        <v>480</v>
      </c>
    </row>
    <row r="469" spans="2:7" x14ac:dyDescent="0.3">
      <c r="B469" s="1" t="s">
        <v>325</v>
      </c>
      <c r="G469" t="s">
        <v>480</v>
      </c>
    </row>
    <row r="470" spans="2:7" x14ac:dyDescent="0.3">
      <c r="B470" t="s">
        <v>98</v>
      </c>
      <c r="G470" t="s">
        <v>428</v>
      </c>
    </row>
    <row r="471" spans="2:7" x14ac:dyDescent="0.3">
      <c r="B471" t="s">
        <v>190</v>
      </c>
      <c r="G471" t="s">
        <v>434</v>
      </c>
    </row>
    <row r="472" spans="2:7" x14ac:dyDescent="0.3">
      <c r="B472" t="s">
        <v>221</v>
      </c>
      <c r="G472" t="s">
        <v>469</v>
      </c>
    </row>
    <row r="473" spans="2:7" x14ac:dyDescent="0.3">
      <c r="B473" t="s">
        <v>238</v>
      </c>
      <c r="G473" t="s">
        <v>425</v>
      </c>
    </row>
    <row r="474" spans="2:7" x14ac:dyDescent="0.3">
      <c r="B474" t="s">
        <v>105</v>
      </c>
      <c r="G474" t="s">
        <v>428</v>
      </c>
    </row>
    <row r="475" spans="2:7" x14ac:dyDescent="0.3">
      <c r="B475" s="2" t="s">
        <v>326</v>
      </c>
      <c r="G475" t="s">
        <v>606</v>
      </c>
    </row>
    <row r="476" spans="2:7" x14ac:dyDescent="0.3">
      <c r="B476" s="1" t="s">
        <v>327</v>
      </c>
      <c r="G476" t="s">
        <v>607</v>
      </c>
    </row>
    <row r="477" spans="2:7" x14ac:dyDescent="0.3">
      <c r="B477" t="s">
        <v>148</v>
      </c>
      <c r="G477" t="s">
        <v>451</v>
      </c>
    </row>
    <row r="478" spans="2:7" x14ac:dyDescent="0.3">
      <c r="B478" s="1" t="s">
        <v>328</v>
      </c>
      <c r="G478" t="s">
        <v>451</v>
      </c>
    </row>
    <row r="479" spans="2:7" x14ac:dyDescent="0.3">
      <c r="B479" t="s">
        <v>98</v>
      </c>
      <c r="G479" t="s">
        <v>428</v>
      </c>
    </row>
    <row r="480" spans="2:7" x14ac:dyDescent="0.3">
      <c r="B480" t="s">
        <v>189</v>
      </c>
      <c r="G480" t="s">
        <v>435</v>
      </c>
    </row>
    <row r="481" spans="2:7" x14ac:dyDescent="0.3">
      <c r="B481" t="s">
        <v>110</v>
      </c>
      <c r="G481" t="s">
        <v>434</v>
      </c>
    </row>
    <row r="482" spans="2:7" x14ac:dyDescent="0.3">
      <c r="B482" t="s">
        <v>329</v>
      </c>
      <c r="G482" t="s">
        <v>590</v>
      </c>
    </row>
    <row r="483" spans="2:7" x14ac:dyDescent="0.3">
      <c r="B483" t="s">
        <v>320</v>
      </c>
      <c r="G483" t="s">
        <v>490</v>
      </c>
    </row>
    <row r="484" spans="2:7" x14ac:dyDescent="0.3">
      <c r="B484" t="s">
        <v>180</v>
      </c>
      <c r="G484" t="s">
        <v>428</v>
      </c>
    </row>
    <row r="485" spans="2:7" x14ac:dyDescent="0.3">
      <c r="B485" s="1" t="s">
        <v>525</v>
      </c>
      <c r="G485" t="s">
        <v>608</v>
      </c>
    </row>
    <row r="486" spans="2:7" x14ac:dyDescent="0.3">
      <c r="B486" t="s">
        <v>172</v>
      </c>
      <c r="G486" t="s">
        <v>428</v>
      </c>
    </row>
    <row r="487" spans="2:7" x14ac:dyDescent="0.3">
      <c r="B487" t="s">
        <v>313</v>
      </c>
      <c r="G487" t="s">
        <v>428</v>
      </c>
    </row>
    <row r="488" spans="2:7" x14ac:dyDescent="0.3">
      <c r="B488" t="s">
        <v>104</v>
      </c>
      <c r="G488" t="s">
        <v>424</v>
      </c>
    </row>
    <row r="489" spans="2:7" x14ac:dyDescent="0.3">
      <c r="B489" s="1" t="s">
        <v>330</v>
      </c>
      <c r="G489" t="s">
        <v>446</v>
      </c>
    </row>
    <row r="490" spans="2:7" x14ac:dyDescent="0.3">
      <c r="B490" t="s">
        <v>122</v>
      </c>
      <c r="G490" t="s">
        <v>432</v>
      </c>
    </row>
    <row r="491" spans="2:7" x14ac:dyDescent="0.3">
      <c r="B491" t="s">
        <v>244</v>
      </c>
      <c r="G491" t="s">
        <v>422</v>
      </c>
    </row>
    <row r="492" spans="2:7" x14ac:dyDescent="0.3">
      <c r="B492" t="s">
        <v>194</v>
      </c>
      <c r="G492" t="s">
        <v>437</v>
      </c>
    </row>
    <row r="493" spans="2:7" x14ac:dyDescent="0.3">
      <c r="B493" t="s">
        <v>110</v>
      </c>
      <c r="G493" t="s">
        <v>434</v>
      </c>
    </row>
    <row r="494" spans="2:7" x14ac:dyDescent="0.3">
      <c r="B494" t="s">
        <v>260</v>
      </c>
      <c r="G494" t="s">
        <v>443</v>
      </c>
    </row>
    <row r="495" spans="2:7" x14ac:dyDescent="0.3">
      <c r="B495" t="s">
        <v>223</v>
      </c>
    </row>
    <row r="496" spans="2:7" x14ac:dyDescent="0.3">
      <c r="B496" t="s">
        <v>331</v>
      </c>
      <c r="G496" t="s">
        <v>598</v>
      </c>
    </row>
    <row r="497" spans="2:7" x14ac:dyDescent="0.3">
      <c r="B497" t="s">
        <v>332</v>
      </c>
    </row>
    <row r="498" spans="2:7" x14ac:dyDescent="0.3">
      <c r="B498" t="s">
        <v>217</v>
      </c>
      <c r="G498" t="s">
        <v>464</v>
      </c>
    </row>
    <row r="499" spans="2:7" x14ac:dyDescent="0.3">
      <c r="B499" t="s">
        <v>333</v>
      </c>
      <c r="G499" t="s">
        <v>444</v>
      </c>
    </row>
    <row r="500" spans="2:7" x14ac:dyDescent="0.3">
      <c r="B500" t="s">
        <v>217</v>
      </c>
      <c r="G500" t="s">
        <v>464</v>
      </c>
    </row>
    <row r="501" spans="2:7" x14ac:dyDescent="0.3">
      <c r="B501" t="s">
        <v>260</v>
      </c>
      <c r="G501" t="s">
        <v>443</v>
      </c>
    </row>
    <row r="502" spans="2:7" x14ac:dyDescent="0.3">
      <c r="B502" t="s">
        <v>212</v>
      </c>
      <c r="G502" t="s">
        <v>462</v>
      </c>
    </row>
    <row r="503" spans="2:7" x14ac:dyDescent="0.3">
      <c r="B503" t="s">
        <v>331</v>
      </c>
      <c r="G503" t="s">
        <v>598</v>
      </c>
    </row>
    <row r="504" spans="2:7" x14ac:dyDescent="0.3">
      <c r="B504" t="s">
        <v>331</v>
      </c>
      <c r="G504" t="s">
        <v>598</v>
      </c>
    </row>
    <row r="505" spans="2:7" x14ac:dyDescent="0.3">
      <c r="B505" t="s">
        <v>334</v>
      </c>
      <c r="G505" t="s">
        <v>609</v>
      </c>
    </row>
    <row r="506" spans="2:7" x14ac:dyDescent="0.3">
      <c r="B506" t="s">
        <v>204</v>
      </c>
      <c r="G506" t="s">
        <v>443</v>
      </c>
    </row>
    <row r="507" spans="2:7" x14ac:dyDescent="0.3">
      <c r="B507" t="s">
        <v>335</v>
      </c>
      <c r="G507" t="s">
        <v>610</v>
      </c>
    </row>
    <row r="508" spans="2:7" x14ac:dyDescent="0.3">
      <c r="B508" t="s">
        <v>240</v>
      </c>
      <c r="G508" t="s">
        <v>443</v>
      </c>
    </row>
    <row r="509" spans="2:7" x14ac:dyDescent="0.3">
      <c r="B509" t="s">
        <v>194</v>
      </c>
      <c r="G509" t="s">
        <v>437</v>
      </c>
    </row>
    <row r="510" spans="2:7" x14ac:dyDescent="0.3">
      <c r="B510" t="s">
        <v>279</v>
      </c>
      <c r="G510" t="s">
        <v>454</v>
      </c>
    </row>
    <row r="511" spans="2:7" x14ac:dyDescent="0.3">
      <c r="B511" t="s">
        <v>153</v>
      </c>
      <c r="G511" t="s">
        <v>466</v>
      </c>
    </row>
    <row r="512" spans="2:7" x14ac:dyDescent="0.3">
      <c r="B512" t="s">
        <v>240</v>
      </c>
      <c r="G512" t="s">
        <v>443</v>
      </c>
    </row>
    <row r="513" spans="2:7" x14ac:dyDescent="0.3">
      <c r="B513" t="s">
        <v>331</v>
      </c>
      <c r="G513" t="s">
        <v>598</v>
      </c>
    </row>
    <row r="514" spans="2:7" x14ac:dyDescent="0.3">
      <c r="B514" t="s">
        <v>194</v>
      </c>
      <c r="G514" t="s">
        <v>437</v>
      </c>
    </row>
    <row r="515" spans="2:7" x14ac:dyDescent="0.3">
      <c r="B515" t="s">
        <v>334</v>
      </c>
      <c r="G515" t="s">
        <v>609</v>
      </c>
    </row>
    <row r="516" spans="2:7" x14ac:dyDescent="0.3">
      <c r="B516" t="s">
        <v>336</v>
      </c>
      <c r="G516" t="s">
        <v>611</v>
      </c>
    </row>
    <row r="517" spans="2:7" x14ac:dyDescent="0.3">
      <c r="B517" t="s">
        <v>619</v>
      </c>
      <c r="G517" t="s">
        <v>466</v>
      </c>
    </row>
    <row r="518" spans="2:7" x14ac:dyDescent="0.3">
      <c r="B518" t="s">
        <v>337</v>
      </c>
      <c r="G518" t="s">
        <v>454</v>
      </c>
    </row>
    <row r="519" spans="2:7" x14ac:dyDescent="0.3">
      <c r="B519" t="s">
        <v>279</v>
      </c>
      <c r="G519" t="s">
        <v>454</v>
      </c>
    </row>
    <row r="520" spans="2:7" x14ac:dyDescent="0.3">
      <c r="B520" t="s">
        <v>329</v>
      </c>
      <c r="G520" t="s">
        <v>590</v>
      </c>
    </row>
    <row r="521" spans="2:7" x14ac:dyDescent="0.3">
      <c r="B521" t="s">
        <v>338</v>
      </c>
      <c r="G521" t="s">
        <v>443</v>
      </c>
    </row>
    <row r="522" spans="2:7" x14ac:dyDescent="0.3">
      <c r="B522" t="s">
        <v>133</v>
      </c>
      <c r="G522" t="s">
        <v>428</v>
      </c>
    </row>
    <row r="523" spans="2:7" x14ac:dyDescent="0.3">
      <c r="B523" s="3" t="s">
        <v>103</v>
      </c>
      <c r="G523" t="s">
        <v>435</v>
      </c>
    </row>
    <row r="524" spans="2:7" x14ac:dyDescent="0.3">
      <c r="B524" s="3" t="s">
        <v>105</v>
      </c>
      <c r="G524" t="s">
        <v>428</v>
      </c>
    </row>
    <row r="525" spans="2:7" x14ac:dyDescent="0.3">
      <c r="B525" s="3" t="s">
        <v>339</v>
      </c>
      <c r="G525" t="s">
        <v>430</v>
      </c>
    </row>
    <row r="526" spans="2:7" x14ac:dyDescent="0.3">
      <c r="B526" s="3" t="s">
        <v>313</v>
      </c>
      <c r="G526" t="s">
        <v>428</v>
      </c>
    </row>
    <row r="527" spans="2:7" x14ac:dyDescent="0.3">
      <c r="B527" s="3" t="s">
        <v>133</v>
      </c>
      <c r="G527" t="s">
        <v>428</v>
      </c>
    </row>
    <row r="528" spans="2:7" x14ac:dyDescent="0.3">
      <c r="B528" s="3" t="s">
        <v>98</v>
      </c>
      <c r="G528" t="s">
        <v>428</v>
      </c>
    </row>
    <row r="529" spans="2:7" x14ac:dyDescent="0.3">
      <c r="B529" s="3" t="s">
        <v>132</v>
      </c>
      <c r="G529" t="s">
        <v>428</v>
      </c>
    </row>
    <row r="530" spans="2:7" x14ac:dyDescent="0.3">
      <c r="B530" s="3" t="s">
        <v>118</v>
      </c>
      <c r="G530" t="s">
        <v>428</v>
      </c>
    </row>
    <row r="531" spans="2:7" x14ac:dyDescent="0.3">
      <c r="B531" s="3" t="s">
        <v>119</v>
      </c>
      <c r="G531" t="s">
        <v>428</v>
      </c>
    </row>
    <row r="532" spans="2:7" x14ac:dyDescent="0.3">
      <c r="B532" s="3" t="s">
        <v>526</v>
      </c>
      <c r="G532" t="s">
        <v>438</v>
      </c>
    </row>
    <row r="533" spans="2:7" x14ac:dyDescent="0.3">
      <c r="B533" s="3" t="s">
        <v>129</v>
      </c>
      <c r="G533" t="s">
        <v>428</v>
      </c>
    </row>
    <row r="534" spans="2:7" x14ac:dyDescent="0.3">
      <c r="B534" s="3" t="s">
        <v>112</v>
      </c>
      <c r="G534" t="s">
        <v>428</v>
      </c>
    </row>
    <row r="535" spans="2:7" x14ac:dyDescent="0.3">
      <c r="B535" s="3" t="s">
        <v>340</v>
      </c>
      <c r="G535" t="s">
        <v>472</v>
      </c>
    </row>
    <row r="536" spans="2:7" x14ac:dyDescent="0.3">
      <c r="B536" s="3" t="s">
        <v>322</v>
      </c>
      <c r="G536" t="s">
        <v>434</v>
      </c>
    </row>
    <row r="537" spans="2:7" x14ac:dyDescent="0.3">
      <c r="B537" s="3" t="s">
        <v>267</v>
      </c>
      <c r="G537" t="s">
        <v>431</v>
      </c>
    </row>
    <row r="538" spans="2:7" x14ac:dyDescent="0.3">
      <c r="B538" s="3" t="s">
        <v>112</v>
      </c>
      <c r="G538" t="s">
        <v>428</v>
      </c>
    </row>
    <row r="539" spans="2:7" x14ac:dyDescent="0.3">
      <c r="B539" s="3" t="s">
        <v>107</v>
      </c>
      <c r="G539" t="s">
        <v>428</v>
      </c>
    </row>
    <row r="540" spans="2:7" x14ac:dyDescent="0.3">
      <c r="B540" s="3" t="s">
        <v>132</v>
      </c>
      <c r="G540" t="s">
        <v>428</v>
      </c>
    </row>
    <row r="541" spans="2:7" x14ac:dyDescent="0.3">
      <c r="B541" s="3" t="s">
        <v>268</v>
      </c>
      <c r="G541" t="s">
        <v>428</v>
      </c>
    </row>
    <row r="542" spans="2:7" x14ac:dyDescent="0.3">
      <c r="B542" s="3" t="s">
        <v>117</v>
      </c>
      <c r="G542" t="s">
        <v>428</v>
      </c>
    </row>
    <row r="543" spans="2:7" x14ac:dyDescent="0.3">
      <c r="B543" s="2" t="s">
        <v>527</v>
      </c>
      <c r="G543" t="s">
        <v>438</v>
      </c>
    </row>
    <row r="544" spans="2:7" x14ac:dyDescent="0.3">
      <c r="B544" s="3" t="s">
        <v>98</v>
      </c>
      <c r="G544" t="s">
        <v>428</v>
      </c>
    </row>
    <row r="545" spans="2:7" x14ac:dyDescent="0.3">
      <c r="B545" s="3" t="s">
        <v>284</v>
      </c>
      <c r="G545" t="s">
        <v>594</v>
      </c>
    </row>
    <row r="546" spans="2:7" x14ac:dyDescent="0.3">
      <c r="B546" s="3" t="s">
        <v>498</v>
      </c>
      <c r="G546" t="s">
        <v>475</v>
      </c>
    </row>
    <row r="547" spans="2:7" x14ac:dyDescent="0.3">
      <c r="B547" s="3" t="s">
        <v>217</v>
      </c>
      <c r="G547" t="s">
        <v>464</v>
      </c>
    </row>
    <row r="548" spans="2:7" x14ac:dyDescent="0.3">
      <c r="B548" s="3" t="s">
        <v>341</v>
      </c>
      <c r="G548" t="s">
        <v>451</v>
      </c>
    </row>
    <row r="549" spans="2:7" x14ac:dyDescent="0.3">
      <c r="B549" s="3" t="s">
        <v>113</v>
      </c>
      <c r="G549" t="s">
        <v>414</v>
      </c>
    </row>
    <row r="550" spans="2:7" x14ac:dyDescent="0.3">
      <c r="B550" s="2" t="s">
        <v>252</v>
      </c>
      <c r="G550" t="s">
        <v>590</v>
      </c>
    </row>
    <row r="551" spans="2:7" x14ac:dyDescent="0.3">
      <c r="B551" s="3" t="s">
        <v>205</v>
      </c>
      <c r="G551" t="s">
        <v>443</v>
      </c>
    </row>
    <row r="552" spans="2:7" x14ac:dyDescent="0.3">
      <c r="B552" s="3" t="s">
        <v>102</v>
      </c>
      <c r="G552" t="s">
        <v>419</v>
      </c>
    </row>
    <row r="553" spans="2:7" x14ac:dyDescent="0.3">
      <c r="B553" s="3" t="s">
        <v>190</v>
      </c>
      <c r="G553" t="s">
        <v>434</v>
      </c>
    </row>
    <row r="554" spans="2:7" x14ac:dyDescent="0.3">
      <c r="B554" s="2" t="s">
        <v>266</v>
      </c>
      <c r="G554" t="s">
        <v>452</v>
      </c>
    </row>
    <row r="555" spans="2:7" x14ac:dyDescent="0.3">
      <c r="B555" t="s">
        <v>342</v>
      </c>
      <c r="G555" t="s">
        <v>606</v>
      </c>
    </row>
    <row r="556" spans="2:7" x14ac:dyDescent="0.3">
      <c r="B556" t="s">
        <v>122</v>
      </c>
      <c r="G556" t="s">
        <v>432</v>
      </c>
    </row>
    <row r="557" spans="2:7" x14ac:dyDescent="0.3">
      <c r="B557" t="s">
        <v>103</v>
      </c>
      <c r="G557" t="s">
        <v>435</v>
      </c>
    </row>
    <row r="558" spans="2:7" x14ac:dyDescent="0.3">
      <c r="B558" t="s">
        <v>300</v>
      </c>
      <c r="G558" t="s">
        <v>436</v>
      </c>
    </row>
    <row r="559" spans="2:7" x14ac:dyDescent="0.3">
      <c r="B559" t="s">
        <v>343</v>
      </c>
      <c r="G559" t="s">
        <v>417</v>
      </c>
    </row>
    <row r="560" spans="2:7" x14ac:dyDescent="0.3">
      <c r="B560" t="s">
        <v>110</v>
      </c>
      <c r="G560" t="s">
        <v>434</v>
      </c>
    </row>
    <row r="561" spans="2:7" x14ac:dyDescent="0.3">
      <c r="B561" t="s">
        <v>172</v>
      </c>
      <c r="G561" t="s">
        <v>428</v>
      </c>
    </row>
    <row r="562" spans="2:7" x14ac:dyDescent="0.3">
      <c r="B562" t="s">
        <v>164</v>
      </c>
      <c r="G562" t="s">
        <v>436</v>
      </c>
    </row>
    <row r="563" spans="2:7" x14ac:dyDescent="0.3">
      <c r="B563" t="s">
        <v>113</v>
      </c>
      <c r="G563" t="s">
        <v>414</v>
      </c>
    </row>
    <row r="564" spans="2:7" x14ac:dyDescent="0.3">
      <c r="B564" t="s">
        <v>344</v>
      </c>
      <c r="G564" t="s">
        <v>612</v>
      </c>
    </row>
    <row r="565" spans="2:7" x14ac:dyDescent="0.3">
      <c r="B565" t="s">
        <v>337</v>
      </c>
      <c r="G565" t="s">
        <v>454</v>
      </c>
    </row>
    <row r="566" spans="2:7" x14ac:dyDescent="0.3">
      <c r="B566" t="s">
        <v>344</v>
      </c>
      <c r="G566" t="s">
        <v>612</v>
      </c>
    </row>
    <row r="567" spans="2:7" x14ac:dyDescent="0.3">
      <c r="B567" t="s">
        <v>336</v>
      </c>
      <c r="G567" t="s">
        <v>611</v>
      </c>
    </row>
    <row r="568" spans="2:7" x14ac:dyDescent="0.3">
      <c r="B568" t="s">
        <v>282</v>
      </c>
      <c r="G568" t="s">
        <v>423</v>
      </c>
    </row>
    <row r="569" spans="2:7" x14ac:dyDescent="0.3">
      <c r="B569" t="s">
        <v>345</v>
      </c>
      <c r="G569" t="s">
        <v>447</v>
      </c>
    </row>
    <row r="570" spans="2:7" x14ac:dyDescent="0.3">
      <c r="B570" t="s">
        <v>346</v>
      </c>
      <c r="G570" t="s">
        <v>613</v>
      </c>
    </row>
    <row r="571" spans="2:7" x14ac:dyDescent="0.3">
      <c r="B571" t="s">
        <v>163</v>
      </c>
      <c r="G571" t="s">
        <v>482</v>
      </c>
    </row>
    <row r="572" spans="2:7" x14ac:dyDescent="0.3">
      <c r="B572" t="s">
        <v>271</v>
      </c>
      <c r="G572" t="s">
        <v>484</v>
      </c>
    </row>
    <row r="573" spans="2:7" x14ac:dyDescent="0.3">
      <c r="B573" t="s">
        <v>347</v>
      </c>
      <c r="G573" t="s">
        <v>414</v>
      </c>
    </row>
    <row r="574" spans="2:7" x14ac:dyDescent="0.3">
      <c r="B574" t="s">
        <v>348</v>
      </c>
      <c r="G574" t="s">
        <v>491</v>
      </c>
    </row>
    <row r="575" spans="2:7" x14ac:dyDescent="0.3">
      <c r="B575" t="s">
        <v>163</v>
      </c>
      <c r="G575" t="s">
        <v>482</v>
      </c>
    </row>
    <row r="576" spans="2:7" x14ac:dyDescent="0.3">
      <c r="B576" t="s">
        <v>348</v>
      </c>
      <c r="G576" t="s">
        <v>491</v>
      </c>
    </row>
    <row r="577" spans="2:7" x14ac:dyDescent="0.3">
      <c r="B577" t="s">
        <v>337</v>
      </c>
      <c r="G577" t="s">
        <v>454</v>
      </c>
    </row>
    <row r="578" spans="2:7" x14ac:dyDescent="0.3">
      <c r="B578" t="s">
        <v>349</v>
      </c>
      <c r="G578" t="s">
        <v>433</v>
      </c>
    </row>
    <row r="579" spans="2:7" x14ac:dyDescent="0.3">
      <c r="B579" t="s">
        <v>350</v>
      </c>
      <c r="G579" t="s">
        <v>451</v>
      </c>
    </row>
    <row r="580" spans="2:7" x14ac:dyDescent="0.3">
      <c r="B580" t="s">
        <v>116</v>
      </c>
      <c r="G580" t="s">
        <v>451</v>
      </c>
    </row>
    <row r="581" spans="2:7" x14ac:dyDescent="0.3">
      <c r="B581" t="s">
        <v>262</v>
      </c>
      <c r="G581" t="s">
        <v>445</v>
      </c>
    </row>
    <row r="582" spans="2:7" x14ac:dyDescent="0.3">
      <c r="B582" t="s">
        <v>351</v>
      </c>
      <c r="G582" t="s">
        <v>480</v>
      </c>
    </row>
    <row r="583" spans="2:7" x14ac:dyDescent="0.3">
      <c r="B583" t="s">
        <v>349</v>
      </c>
      <c r="G583" t="s">
        <v>433</v>
      </c>
    </row>
    <row r="584" spans="2:7" x14ac:dyDescent="0.3">
      <c r="B584" t="s">
        <v>283</v>
      </c>
      <c r="G584" t="s">
        <v>597</v>
      </c>
    </row>
    <row r="585" spans="2:7" x14ac:dyDescent="0.3">
      <c r="B585" t="s">
        <v>247</v>
      </c>
      <c r="G585" t="s">
        <v>421</v>
      </c>
    </row>
    <row r="586" spans="2:7" x14ac:dyDescent="0.3">
      <c r="B586" t="s">
        <v>345</v>
      </c>
      <c r="G586" t="s">
        <v>447</v>
      </c>
    </row>
    <row r="587" spans="2:7" x14ac:dyDescent="0.3">
      <c r="B587" t="s">
        <v>352</v>
      </c>
      <c r="G587" t="s">
        <v>436</v>
      </c>
    </row>
    <row r="588" spans="2:7" x14ac:dyDescent="0.3">
      <c r="B588" t="s">
        <v>353</v>
      </c>
      <c r="G588" t="s">
        <v>436</v>
      </c>
    </row>
    <row r="589" spans="2:7" x14ac:dyDescent="0.3">
      <c r="B589" t="s">
        <v>354</v>
      </c>
      <c r="G589" t="s">
        <v>568</v>
      </c>
    </row>
    <row r="590" spans="2:7" x14ac:dyDescent="0.3">
      <c r="B590" t="s">
        <v>285</v>
      </c>
      <c r="G590" t="s">
        <v>456</v>
      </c>
    </row>
    <row r="591" spans="2:7" x14ac:dyDescent="0.3">
      <c r="B591" t="s">
        <v>235</v>
      </c>
      <c r="G591" t="s">
        <v>414</v>
      </c>
    </row>
    <row r="592" spans="2:7" x14ac:dyDescent="0.3">
      <c r="B592" t="s">
        <v>99</v>
      </c>
      <c r="G592" t="s">
        <v>463</v>
      </c>
    </row>
    <row r="593" spans="2:7" x14ac:dyDescent="0.3">
      <c r="B593" t="s">
        <v>355</v>
      </c>
      <c r="G593" t="s">
        <v>442</v>
      </c>
    </row>
    <row r="594" spans="2:7" x14ac:dyDescent="0.3">
      <c r="B594" t="s">
        <v>97</v>
      </c>
      <c r="G594" t="s">
        <v>433</v>
      </c>
    </row>
    <row r="595" spans="2:7" x14ac:dyDescent="0.3">
      <c r="B595" t="s">
        <v>501</v>
      </c>
      <c r="G595" t="s">
        <v>435</v>
      </c>
    </row>
    <row r="596" spans="2:7" x14ac:dyDescent="0.3">
      <c r="B596" t="s">
        <v>127</v>
      </c>
      <c r="G596" t="s">
        <v>435</v>
      </c>
    </row>
    <row r="597" spans="2:7" x14ac:dyDescent="0.3">
      <c r="B597" t="s">
        <v>502</v>
      </c>
      <c r="G597" t="s">
        <v>584</v>
      </c>
    </row>
    <row r="598" spans="2:7" x14ac:dyDescent="0.3">
      <c r="B598" t="s">
        <v>97</v>
      </c>
      <c r="G598" t="s">
        <v>433</v>
      </c>
    </row>
    <row r="599" spans="2:7" x14ac:dyDescent="0.3">
      <c r="B599" t="s">
        <v>97</v>
      </c>
      <c r="G599" t="s">
        <v>433</v>
      </c>
    </row>
    <row r="600" spans="2:7" x14ac:dyDescent="0.3">
      <c r="B600" t="s">
        <v>97</v>
      </c>
      <c r="G600" t="s">
        <v>433</v>
      </c>
    </row>
    <row r="601" spans="2:7" x14ac:dyDescent="0.3">
      <c r="B601" t="s">
        <v>107</v>
      </c>
      <c r="G601" t="s">
        <v>428</v>
      </c>
    </row>
    <row r="602" spans="2:7" x14ac:dyDescent="0.3">
      <c r="B602" t="s">
        <v>499</v>
      </c>
      <c r="G602" t="s">
        <v>428</v>
      </c>
    </row>
  </sheetData>
  <phoneticPr fontId="1" type="noConversion"/>
  <conditionalFormatting sqref="A1:B1048576">
    <cfRule type="duplicateValues" dxfId="2" priority="5"/>
  </conditionalFormatting>
  <conditionalFormatting sqref="F2:G1048576 G1">
    <cfRule type="duplicateValues" dxfId="1" priority="3"/>
  </conditionalFormatting>
  <conditionalFormatting sqref="F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 A</vt:lpstr>
      <vt:lpstr>2A-1</vt:lpstr>
      <vt:lpstr>2B-1</vt:lpstr>
      <vt:lpstr>2C-1</vt:lpstr>
      <vt:lpstr>2B-2 2C-2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hhj</dc:creator>
  <cp:lastModifiedBy>Haojie Huang</cp:lastModifiedBy>
  <dcterms:created xsi:type="dcterms:W3CDTF">2015-06-05T18:19:34Z</dcterms:created>
  <dcterms:modified xsi:type="dcterms:W3CDTF">2026-06-08T14:53:40Z</dcterms:modified>
</cp:coreProperties>
</file>